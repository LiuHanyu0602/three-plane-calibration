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liuhanyu/Downloads/"/>
    </mc:Choice>
  </mc:AlternateContent>
  <xr:revisionPtr revIDLastSave="0" documentId="8_{2904A2EA-B8C5-0542-A447-3E14EDD4D2F4}" xr6:coauthVersionLast="47" xr6:coauthVersionMax="47" xr10:uidLastSave="{00000000-0000-0000-0000-000000000000}"/>
  <bookViews>
    <workbookView xWindow="-1500" yWindow="1100" windowWidth="30240" windowHeight="17580" activeTab="3" xr2:uid="{00000000-000D-0000-FFFF-FFFF00000000}"/>
  </bookViews>
  <sheets>
    <sheet name="all_data" sheetId="4" r:id="rId1"/>
    <sheet name="Error_Budget_100m" sheetId="1" r:id="rId2"/>
    <sheet name="Distance_Trends" sheetId="2" r:id="rId3"/>
    <sheet name="Key_Findings" sheetId="3" r:id="rId4"/>
  </sheets>
  <calcPr calcId="0"/>
</workbook>
</file>

<file path=xl/sharedStrings.xml><?xml version="1.0" encoding="utf-8"?>
<sst xmlns="http://schemas.openxmlformats.org/spreadsheetml/2006/main" count="528" uniqueCount="122">
  <si>
    <t>Rank</t>
  </si>
  <si>
    <t>Error Source / Case</t>
  </si>
  <si>
    <t>Type</t>
  </si>
  <si>
    <t>Physical Meaning</t>
  </si>
  <si>
    <t>Representative Value</t>
  </si>
  <si>
    <t>Mean Origin Error (mm)</t>
  </si>
  <si>
    <t>P95 Origin Error (mm)</t>
  </si>
  <si>
    <t>Mean Rotation Error (deg)</t>
  </si>
  <si>
    <t>P95 Rotation Error (deg)</t>
  </si>
  <si>
    <t>Main Mitigation</t>
  </si>
  <si>
    <t>Interpretation</t>
  </si>
  <si>
    <t>Combined_Systematic</t>
  </si>
  <si>
    <t>Systematic</t>
  </si>
  <si>
    <t>All systematic errors combined</t>
  </si>
  <si>
    <t>10 μrad + 10 μrad + 10 μrad + 1 mm + 10 ppm + 10 ppm</t>
  </si>
  <si>
    <t>Full system calibration and compensation</t>
  </si>
  <si>
    <t>Systematic errors dominate position error and cannot be reduced by averaging.</t>
  </si>
  <si>
    <t>Combined_AllErrors</t>
  </si>
  <si>
    <t>Mixed</t>
  </si>
  <si>
    <t>All random and systematic errors combined</t>
  </si>
  <si>
    <t>All representative values</t>
  </si>
  <si>
    <t>Full error-budget control</t>
  </si>
  <si>
    <t>Position error is still governed mainly by systematic components; random terms mainly increase rotation/tail.</t>
  </si>
  <si>
    <t>AngleZeroBias_10urad</t>
  </si>
  <si>
    <t>Turntable angular zero bias</t>
  </si>
  <si>
    <t>10 μrad</t>
  </si>
  <si>
    <t>Angular zero calibration</t>
  </si>
  <si>
    <t>Large distance-dependent position bias; approximately proportional to measuring distance.</t>
  </si>
  <si>
    <t>BeamBoresightBias_10urad</t>
  </si>
  <si>
    <t>Laser optical-axis pointing bias</t>
  </si>
  <si>
    <t>Boresight calibration between laser beam and scanner axes</t>
  </si>
  <si>
    <t>Mathematically similar to angular zero bias, but physical source is beam pointing.</t>
  </si>
  <si>
    <t>ThermalScaleBias_10ppm</t>
  </si>
  <si>
    <t>Temperature-induced range or structure scale drift</t>
  </si>
  <si>
    <t>10 ppm</t>
  </si>
  <si>
    <t>Temperature monitoring and scale compensation</t>
  </si>
  <si>
    <t>Scale-type systematic error; directly creates distance-proportional origin bias.</t>
  </si>
  <si>
    <t>RefractiveIndexBias_10ppm</t>
  </si>
  <si>
    <t>Air refractive-index range scale error</t>
  </si>
  <si>
    <t>Refractive-index / environmental compensation</t>
  </si>
  <si>
    <t>Same first-order mathematical form as range scale bias; physical source is air refractive index.</t>
  </si>
  <si>
    <t>BeamAxisOffset_1mm</t>
  </si>
  <si>
    <t>Laser emission center offset from turntable center</t>
  </si>
  <si>
    <t>1 mm</t>
  </si>
  <si>
    <t>Lever-arm / center-offset calibration</t>
  </si>
  <si>
    <t>A 1 mm uncompensated center offset appears directly as about 1 mm origin bias in this first-order model.</t>
  </si>
  <si>
    <t>Combined_Random</t>
  </si>
  <si>
    <t>Random</t>
  </si>
  <si>
    <t>Roughness + range random + angle random</t>
  </si>
  <si>
    <t>10 μm, 10 μm, 10 μrad</t>
  </si>
  <si>
    <t>Dense sampling, repeated scans, plane fitting</t>
  </si>
  <si>
    <t>Random errors are strongly averaged by plane fitting; dominated by angular repeatability at long range.</t>
  </si>
  <si>
    <t>AngleRandomOnly_10urad</t>
  </si>
  <si>
    <t>Turntable repeatability / random angular noise</t>
  </si>
  <si>
    <t>Dense sampling, repeated scans, averaging</t>
  </si>
  <si>
    <t>Largest random error term; still much smaller than angular zero bias.</t>
  </si>
  <si>
    <t>AxisNonorthogonality_10urad</t>
  </si>
  <si>
    <t>Two-axis non-orthogonality / axis skew</t>
  </si>
  <si>
    <t>Mechanical axis calibration / axis model compensation</t>
  </si>
  <si>
    <t>Small under the current simplified skew model; still should be calibrated as a systematic term.</t>
  </si>
  <si>
    <t>PlaneRoughnessOnly_10um</t>
  </si>
  <si>
    <t>Plane roughness / flatness noise</t>
  </si>
  <si>
    <t>10 μm</t>
  </si>
  <si>
    <t>Multi-point plane fitting</t>
  </si>
  <si>
    <t>Reduced to sub-micron-level origin error by 1200-point fitting.</t>
  </si>
  <si>
    <t>RangeRandomOnly_10um</t>
  </si>
  <si>
    <t>Range measurement random noise</t>
  </si>
  <si>
    <t>Repeated measurements and plane fitting</t>
  </si>
  <si>
    <t>Smallest term; range precision is not the dominant bottleneck in this setting.</t>
  </si>
  <si>
    <t>Case</t>
  </si>
  <si>
    <t>Distance (m)</t>
  </si>
  <si>
    <t>Comment</t>
  </si>
  <si>
    <t>All representative random and systematic errors.</t>
  </si>
  <si>
    <t>Random errors averaged by plane fitting.</t>
  </si>
  <si>
    <t>Distance-proportional angular systematic bias.</t>
  </si>
  <si>
    <t>10 ppm scale drift gives distance-proportional origin bias.</t>
  </si>
  <si>
    <t>Error_Type</t>
  </si>
  <si>
    <t>Physical_Meaning</t>
  </si>
  <si>
    <t>Representative_Value</t>
  </si>
  <si>
    <t>Distance_m</t>
  </si>
  <si>
    <t>Measured_Point_RMS_mm</t>
  </si>
  <si>
    <t>Measured_Point_P95_mm</t>
  </si>
  <si>
    <t>Mean_Origin_Error_mm</t>
  </si>
  <si>
    <t>P95_Origin_Error_mm</t>
  </si>
  <si>
    <t>Mean_Rotation_Error_deg</t>
  </si>
  <si>
    <t>P95_Rotation_Error_deg</t>
  </si>
  <si>
    <t>Mean_Normal_Angle_Error_deg</t>
  </si>
  <si>
    <t>P95_Normal_Angle_Error_deg</t>
  </si>
  <si>
    <t>Mean_Axis_Orthogonality_Error</t>
  </si>
  <si>
    <t>OriginError_to_PointRMS_Ratio</t>
  </si>
  <si>
    <t>Mitigation</t>
  </si>
  <si>
    <t>10 um</t>
  </si>
  <si>
    <t>Can be reduced by multi-point plane fitting</t>
  </si>
  <si>
    <t>Can be reduced by repeated measurements and plane fitting</t>
  </si>
  <si>
    <t>10 urad</t>
  </si>
  <si>
    <t>Can be reduced by dense sampling, repeated scans, and averaging</t>
  </si>
  <si>
    <t>10um, 10um, 10urad</t>
  </si>
  <si>
    <t>Reduced by plane fitting; dominated by angular random error at long range</t>
  </si>
  <si>
    <t>Requires angular zero calibration</t>
  </si>
  <si>
    <t>Requires mechanical axis calibration / axis model compensation</t>
  </si>
  <si>
    <t>Requires boresight calibration between laser beam and scanner axes</t>
  </si>
  <si>
    <t>Requires lever-arm / center-offset calibration</t>
  </si>
  <si>
    <t>Requires temperature monitoring and scale compensation</t>
  </si>
  <si>
    <t>Requires refractive-index / environmental compensation</t>
  </si>
  <si>
    <t>10urad,10urad,10urad,1mm,10ppm,10ppm</t>
  </si>
  <si>
    <t>Requires full system calibration and compensation</t>
  </si>
  <si>
    <t>all representative values</t>
  </si>
  <si>
    <t>Full error budget case</t>
  </si>
  <si>
    <t>结论</t>
  </si>
  <si>
    <t>主导误差类型</t>
  </si>
  <si>
    <t>在 100 m 测量距离下，系统误差主导原点位置误差。综合系统误差为 3.0014 mm，而综合随机误差只有 0.035223 mm。</t>
  </si>
  <si>
    <t>最大单项误差源</t>
  </si>
  <si>
    <t>最大的单项误差贡献来自转台角度零位偏差和激光光轴指向偏差。每一个 10 μrad 的角度偏差在 100 m 处都会带来约 1.4142 mm 的平均原点误差。</t>
  </si>
  <si>
    <t>尺度类误差</t>
  </si>
  <si>
    <t>温度尺度漂移和空气折射率偏差在当前一阶简化模型中具有相同的数学形式。10 ppm 的尺度误差在 100 m 处会造成约 1.0 mm 的原点误差。</t>
  </si>
  <si>
    <t>杠杆臂 / 中心偏移误差</t>
  </si>
  <si>
    <t>在当前一阶模型中，1 mm 未补偿的激光—转台中心偏移会造成约 1.0 mm 的原点位置偏差。</t>
  </si>
  <si>
    <t>随机误差</t>
  </si>
  <si>
    <t>平板粗糙度、测距随机误差和角度随机误差会被 1200 点平面拟合显著平均。在 100 m 处，综合随机误差只造成 0.035223 mm 的平均原点误差。</t>
  </si>
  <si>
    <t>优化优先级</t>
  </si>
  <si>
    <t>topic</t>
    <phoneticPr fontId="3" type="noConversion"/>
  </si>
  <si>
    <t>应优先进行角度零位校正、激光光轴指向标定、测距尺度温度空气折射率补偿，以及激光—转台中心偏移的杠杆臂标定，再考虑算法层面的去噪优化。</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</si>
</sst>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
  </numFmts>
  <fonts count="5">
    <font>
      <sz val="11"/>
      <name val="Carlito"/>
    </font>
    <font>
      <b/>
      <sz val="11"/>
      <color rgb="FFFFFFFF"/>
      <name val="Carlito"/>
    </font>
    <font>
      <sz val="11"/>
      <name val="Carlito"/>
    </font>
    <font>
      <sz val="9"/>
      <name val="FangSong"/>
      <family val="3"/>
      <charset val="134"/>
    </font>
    <font>
      <b/>
      <sz val="11"/>
      <name val="Carlito"/>
    </font>
  </fonts>
  <fills count="4">
    <fill>
      <patternFill patternType="none"/>
    </fill>
    <fill>
      <patternFill patternType="gray125"/>
    </fill>
    <fill>
      <patternFill patternType="solid">
        <fgColor rgb="FF1F4E79"/>
      </patternFill>
    </fill>
    <fill>
      <patternFill patternType="solid">
        <fgColor rgb="FF548235"/>
      </patternFill>
    </fill>
  </fills>
  <borders count="1">
    <border>
      <left/>
      <right/>
      <top/>
      <bottom/>
      <diagonal/>
    </border>
  </borders>
  <cellStyleXfs count="2">
    <xf numFmtId="0" fontId="0" fillId="0" borderId="0"/>
    <xf numFmtId="0" fontId="2" fillId="0" borderId="0"/>
  </cellStyleXfs>
  <cellXfs count="7">
    <xf numFmtId="0" fontId="0" fillId="0" borderId="0" xfId="0"/>
    <xf numFmtId="0" fontId="1" fillId="2" borderId="0" xfId="1" applyFont="1" applyFill="1" applyAlignment="1">
      <alignment horizontal="center" vertical="center" wrapText="1"/>
    </xf>
    <xf numFmtId="0" fontId="0" fillId="0" borderId="0" xfId="1" applyFont="1" applyAlignment="1">
      <alignment wrapText="1"/>
    </xf>
    <xf numFmtId="176" fontId="0" fillId="0" borderId="0" xfId="1" applyNumberFormat="1" applyFont="1" applyAlignment="1">
      <alignment wrapText="1"/>
    </xf>
    <xf numFmtId="0" fontId="1" fillId="3" borderId="0" xfId="1" applyFont="1" applyFill="1" applyAlignment="1">
      <alignment horizontal="center" wrapText="1"/>
    </xf>
    <xf numFmtId="0" fontId="4" fillId="0" borderId="0" xfId="0" applyFont="1"/>
    <xf numFmtId="0" fontId="0" fillId="0" borderId="0" xfId="0" applyNumberFormat="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autoTitleDeleted val="1"/>
    <c:plotArea>
      <c:layout/>
      <c:barChart>
        <c:barDir val="col"/>
        <c:grouping val="clustered"/>
        <c:varyColors val="0"/>
        <c:ser>
          <c:idx val="0"/>
          <c:order val="0"/>
          <c:tx>
            <c:v>Mean Origin Error (mm)</c:v>
          </c:tx>
          <c:invertIfNegative val="1"/>
          <c:cat>
            <c:strRef>
              <c:f>Error_Budget_100m!$B$2:$B$13</c:f>
              <c:strCache>
                <c:ptCount val="12"/>
                <c:pt idx="0">
                  <c:v>Combined_Systematic</c:v>
                </c:pt>
                <c:pt idx="1">
                  <c:v>Combined_AllErrors</c:v>
                </c:pt>
                <c:pt idx="2">
                  <c:v>AngleZeroBias_10urad</c:v>
                </c:pt>
                <c:pt idx="3">
                  <c:v>BeamBoresightBias_10urad</c:v>
                </c:pt>
                <c:pt idx="4">
                  <c:v>ThermalScaleBias_10ppm</c:v>
                </c:pt>
                <c:pt idx="5">
                  <c:v>RefractiveIndexBias_10ppm</c:v>
                </c:pt>
                <c:pt idx="6">
                  <c:v>BeamAxisOffset_1mm</c:v>
                </c:pt>
                <c:pt idx="7">
                  <c:v>Combined_Random</c:v>
                </c:pt>
                <c:pt idx="8">
                  <c:v>AngleRandomOnly_10urad</c:v>
                </c:pt>
                <c:pt idx="9">
                  <c:v>AxisNonorthogonality_10urad</c:v>
                </c:pt>
                <c:pt idx="10">
                  <c:v>PlaneRoughnessOnly_10um</c:v>
                </c:pt>
                <c:pt idx="11">
                  <c:v>RangeRandomOnly_10um</c:v>
                </c:pt>
              </c:strCache>
            </c:strRef>
          </c:cat>
          <c:val>
            <c:numRef>
              <c:f>Error_Budget_100m!$F$2:$F$13</c:f>
              <c:numCache>
                <c:formatCode>0.000000</c:formatCode>
                <c:ptCount val="12"/>
                <c:pt idx="0">
                  <c:v>3.0013999999999998</c:v>
                </c:pt>
                <c:pt idx="1">
                  <c:v>3.0003000000000002</c:v>
                </c:pt>
                <c:pt idx="2">
                  <c:v>1.4141999999999999</c:v>
                </c:pt>
                <c:pt idx="3">
                  <c:v>1.4141999999999999</c:v>
                </c:pt>
                <c:pt idx="4">
                  <c:v>1</c:v>
                </c:pt>
                <c:pt idx="5">
                  <c:v>1</c:v>
                </c:pt>
                <c:pt idx="6">
                  <c:v>1</c:v>
                </c:pt>
                <c:pt idx="7">
                  <c:v>3.5222999999999997E-2</c:v>
                </c:pt>
                <c:pt idx="8">
                  <c:v>3.4340000000000002E-2</c:v>
                </c:pt>
                <c:pt idx="9">
                  <c:v>4.4720999999999997E-3</c:v>
                </c:pt>
                <c:pt idx="10">
                  <c:v>4.5349000000000002E-4</c:v>
                </c:pt>
                <c:pt idx="11">
                  <c:v>2.3955E-4</c:v>
                </c:pt>
              </c:numCache>
            </c:numRef>
          </c:val>
          <c:extLst>
            <c:ext xmlns:c16="http://schemas.microsoft.com/office/drawing/2014/chart" uri="{C3380CC4-5D6E-409C-BE32-E72D297353CC}">
              <c16:uniqueId val="{00000000-6047-324A-9FA0-25060BF311D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autoTitleDeleted val="1"/>
    <c:plotArea>
      <c:layout/>
      <c:lineChart>
        <c:grouping val="standard"/>
        <c:varyColors val="1"/>
        <c:ser>
          <c:idx val="0"/>
          <c:order val="0"/>
          <c:tx>
            <c:v>Combined_AllErrors</c:v>
          </c:tx>
          <c:cat>
            <c:numRef>
              <c:f>Distance_Trends!$B$2:$B$7</c:f>
              <c:numCache>
                <c:formatCode>General</c:formatCode>
                <c:ptCount val="6"/>
                <c:pt idx="0">
                  <c:v>5</c:v>
                </c:pt>
                <c:pt idx="1">
                  <c:v>10</c:v>
                </c:pt>
                <c:pt idx="2">
                  <c:v>50</c:v>
                </c:pt>
                <c:pt idx="3">
                  <c:v>100</c:v>
                </c:pt>
                <c:pt idx="4">
                  <c:v>150</c:v>
                </c:pt>
                <c:pt idx="5">
                  <c:v>200</c:v>
                </c:pt>
              </c:numCache>
            </c:numRef>
          </c:cat>
          <c:val>
            <c:numRef>
              <c:f>Distance_Trends!$C$2:$C$7</c:f>
              <c:numCache>
                <c:formatCode>0.000000</c:formatCode>
                <c:ptCount val="6"/>
                <c:pt idx="0">
                  <c:v>0.91110000000000002</c:v>
                </c:pt>
                <c:pt idx="1">
                  <c:v>0.84909999999999997</c:v>
                </c:pt>
                <c:pt idx="2">
                  <c:v>1.4156</c:v>
                </c:pt>
                <c:pt idx="3">
                  <c:v>3.0003000000000002</c:v>
                </c:pt>
                <c:pt idx="4">
                  <c:v>4.6913</c:v>
                </c:pt>
                <c:pt idx="5">
                  <c:v>6.4020999999999999</c:v>
                </c:pt>
              </c:numCache>
            </c:numRef>
          </c:val>
          <c:smooth val="0"/>
          <c:extLst>
            <c:ext xmlns:c16="http://schemas.microsoft.com/office/drawing/2014/chart" uri="{C3380CC4-5D6E-409C-BE32-E72D297353CC}">
              <c16:uniqueId val="{00000000-CD51-BC45-977B-54B3B6A5F438}"/>
            </c:ext>
          </c:extLst>
        </c:ser>
        <c:ser>
          <c:idx val="1"/>
          <c:order val="1"/>
          <c:tx>
            <c:v>Combined_Random</c:v>
          </c:tx>
          <c:cat>
            <c:numRef>
              <c:f>Distance_Trends!$B$8:$B$13</c:f>
              <c:numCache>
                <c:formatCode>General</c:formatCode>
                <c:ptCount val="6"/>
                <c:pt idx="0">
                  <c:v>5</c:v>
                </c:pt>
                <c:pt idx="1">
                  <c:v>10</c:v>
                </c:pt>
                <c:pt idx="2">
                  <c:v>50</c:v>
                </c:pt>
                <c:pt idx="3">
                  <c:v>100</c:v>
                </c:pt>
                <c:pt idx="4">
                  <c:v>150</c:v>
                </c:pt>
                <c:pt idx="5">
                  <c:v>200</c:v>
                </c:pt>
              </c:numCache>
            </c:numRef>
          </c:cat>
          <c:val>
            <c:numRef>
              <c:f>Distance_Trends!$C$8:$C$13</c:f>
              <c:numCache>
                <c:formatCode>0.000000</c:formatCode>
                <c:ptCount val="6"/>
                <c:pt idx="0">
                  <c:v>1.9322E-3</c:v>
                </c:pt>
                <c:pt idx="1">
                  <c:v>3.5907999999999999E-3</c:v>
                </c:pt>
                <c:pt idx="2">
                  <c:v>1.8412999999999999E-2</c:v>
                </c:pt>
                <c:pt idx="3">
                  <c:v>3.5222999999999997E-2</c:v>
                </c:pt>
                <c:pt idx="4">
                  <c:v>5.3947000000000002E-2</c:v>
                </c:pt>
                <c:pt idx="5">
                  <c:v>7.1734000000000006E-2</c:v>
                </c:pt>
              </c:numCache>
            </c:numRef>
          </c:val>
          <c:smooth val="0"/>
          <c:extLst>
            <c:ext xmlns:c16="http://schemas.microsoft.com/office/drawing/2014/chart" uri="{C3380CC4-5D6E-409C-BE32-E72D297353CC}">
              <c16:uniqueId val="{00000001-CD51-BC45-977B-54B3B6A5F438}"/>
            </c:ext>
          </c:extLst>
        </c:ser>
        <c:ser>
          <c:idx val="2"/>
          <c:order val="2"/>
          <c:tx>
            <c:v>AngleZeroBias_10urad</c:v>
          </c:tx>
          <c:cat>
            <c:numRef>
              <c:f>Distance_Trends!$B$14:$B$19</c:f>
              <c:numCache>
                <c:formatCode>General</c:formatCode>
                <c:ptCount val="6"/>
                <c:pt idx="0">
                  <c:v>5</c:v>
                </c:pt>
                <c:pt idx="1">
                  <c:v>10</c:v>
                </c:pt>
                <c:pt idx="2">
                  <c:v>50</c:v>
                </c:pt>
                <c:pt idx="3">
                  <c:v>100</c:v>
                </c:pt>
                <c:pt idx="4">
                  <c:v>150</c:v>
                </c:pt>
                <c:pt idx="5">
                  <c:v>200</c:v>
                </c:pt>
              </c:numCache>
            </c:numRef>
          </c:cat>
          <c:val>
            <c:numRef>
              <c:f>Distance_Trends!$C$14:$C$19</c:f>
              <c:numCache>
                <c:formatCode>0.000000</c:formatCode>
                <c:ptCount val="6"/>
                <c:pt idx="0">
                  <c:v>7.0895E-2</c:v>
                </c:pt>
                <c:pt idx="1">
                  <c:v>0.14151</c:v>
                </c:pt>
                <c:pt idx="2">
                  <c:v>0.70713000000000004</c:v>
                </c:pt>
                <c:pt idx="3">
                  <c:v>1.4141999999999999</c:v>
                </c:pt>
                <c:pt idx="4">
                  <c:v>2.1213000000000002</c:v>
                </c:pt>
                <c:pt idx="5">
                  <c:v>2.8283999999999998</c:v>
                </c:pt>
              </c:numCache>
            </c:numRef>
          </c:val>
          <c:smooth val="0"/>
          <c:extLst>
            <c:ext xmlns:c16="http://schemas.microsoft.com/office/drawing/2014/chart" uri="{C3380CC4-5D6E-409C-BE32-E72D297353CC}">
              <c16:uniqueId val="{00000002-CD51-BC45-977B-54B3B6A5F438}"/>
            </c:ext>
          </c:extLst>
        </c:ser>
        <c:ser>
          <c:idx val="3"/>
          <c:order val="3"/>
          <c:tx>
            <c:v>ThermalScaleBias_10ppm</c:v>
          </c:tx>
          <c:cat>
            <c:numRef>
              <c:f>Distance_Trends!$B$20:$B$25</c:f>
              <c:numCache>
                <c:formatCode>General</c:formatCode>
                <c:ptCount val="6"/>
                <c:pt idx="0">
                  <c:v>5</c:v>
                </c:pt>
                <c:pt idx="1">
                  <c:v>10</c:v>
                </c:pt>
                <c:pt idx="2">
                  <c:v>50</c:v>
                </c:pt>
                <c:pt idx="3">
                  <c:v>100</c:v>
                </c:pt>
                <c:pt idx="4">
                  <c:v>150</c:v>
                </c:pt>
                <c:pt idx="5">
                  <c:v>200</c:v>
                </c:pt>
              </c:numCache>
            </c:numRef>
          </c:cat>
          <c:val>
            <c:numRef>
              <c:f>Distance_Trends!$C$20:$C$25</c:f>
              <c:numCache>
                <c:formatCode>0.000000</c:formatCode>
                <c:ptCount val="6"/>
                <c:pt idx="0">
                  <c:v>5.0200000000000002E-2</c:v>
                </c:pt>
                <c:pt idx="1">
                  <c:v>0.10009999999999999</c:v>
                </c:pt>
                <c:pt idx="2">
                  <c:v>0.50002000000000002</c:v>
                </c:pt>
                <c:pt idx="3">
                  <c:v>1</c:v>
                </c:pt>
                <c:pt idx="4">
                  <c:v>1.5</c:v>
                </c:pt>
                <c:pt idx="5">
                  <c:v>2</c:v>
                </c:pt>
              </c:numCache>
            </c:numRef>
          </c:val>
          <c:smooth val="0"/>
          <c:extLst>
            <c:ext xmlns:c16="http://schemas.microsoft.com/office/drawing/2014/chart" uri="{C3380CC4-5D6E-409C-BE32-E72D297353CC}">
              <c16:uniqueId val="{00000003-CD51-BC45-977B-54B3B6A5F43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0</xdr:colOff>
      <xdr:row>1</xdr:row>
      <xdr:rowOff>0</xdr:rowOff>
    </xdr:from>
    <xdr:to>
      <xdr:col>20</xdr:col>
      <xdr:colOff>0</xdr:colOff>
      <xdr:row>20</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16</xdr:col>
      <xdr:colOff>0</xdr:colOff>
      <xdr:row>20</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rrorBudget100m" displayName="ErrorBudget100m" ref="A1:K13">
  <tableColumns count="11">
    <tableColumn id="1" xr3:uid="{00000000-0010-0000-0000-000001000000}" name="Rank"/>
    <tableColumn id="2" xr3:uid="{00000000-0010-0000-0000-000002000000}" name="Error Source / Case"/>
    <tableColumn id="3" xr3:uid="{00000000-0010-0000-0000-000003000000}" name="Type"/>
    <tableColumn id="4" xr3:uid="{00000000-0010-0000-0000-000004000000}" name="Physical Meaning"/>
    <tableColumn id="5" xr3:uid="{00000000-0010-0000-0000-000005000000}" name="Representative Value"/>
    <tableColumn id="6" xr3:uid="{00000000-0010-0000-0000-000006000000}" name="Mean Origin Error (mm)"/>
    <tableColumn id="7" xr3:uid="{00000000-0010-0000-0000-000007000000}" name="P95 Origin Error (mm)"/>
    <tableColumn id="8" xr3:uid="{00000000-0010-0000-0000-000008000000}" name="Mean Rotation Error (deg)"/>
    <tableColumn id="9" xr3:uid="{00000000-0010-0000-0000-000009000000}" name="P95 Rotation Error (deg)"/>
    <tableColumn id="10" xr3:uid="{00000000-0010-0000-0000-00000A000000}" name="Main Mitigation"/>
    <tableColumn id="11" xr3:uid="{00000000-0010-0000-0000-00000B000000}" name="Interpret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stanceTrends" displayName="DistanceTrends" ref="A1:G25">
  <tableColumns count="7">
    <tableColumn id="1" xr3:uid="{00000000-0010-0000-0100-000001000000}" name="Case"/>
    <tableColumn id="2" xr3:uid="{00000000-0010-0000-0100-000002000000}" name="Distance (m)"/>
    <tableColumn id="3" xr3:uid="{00000000-0010-0000-0100-000003000000}" name="Mean Origin Error (mm)"/>
    <tableColumn id="4" xr3:uid="{00000000-0010-0000-0100-000004000000}" name="P95 Origin Error (mm)"/>
    <tableColumn id="5" xr3:uid="{00000000-0010-0000-0100-000005000000}" name="Mean Rotation Error (deg)"/>
    <tableColumn id="6" xr3:uid="{00000000-0010-0000-0100-000006000000}" name="P95 Rotation Error (deg)"/>
    <tableColumn id="7" xr3:uid="{00000000-0010-0000-0100-000007000000}" name="Com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6A9A-FFE2-D943-A196-8A4FCE68CCD2}">
  <dimension ref="A1:P73"/>
  <sheetViews>
    <sheetView topLeftCell="A21" workbookViewId="0">
      <selection activeCell="Q10" sqref="Q10"/>
    </sheetView>
  </sheetViews>
  <sheetFormatPr baseColWidth="10" defaultRowHeight="14"/>
  <sheetData>
    <row r="1" spans="1:16">
      <c r="A1" s="6" t="s">
        <v>69</v>
      </c>
      <c r="B1" s="6" t="s">
        <v>76</v>
      </c>
      <c r="C1" s="6" t="s">
        <v>77</v>
      </c>
      <c r="D1" s="6" t="s">
        <v>78</v>
      </c>
      <c r="E1" s="6" t="s">
        <v>79</v>
      </c>
      <c r="F1" s="6" t="s">
        <v>80</v>
      </c>
      <c r="G1" s="6" t="s">
        <v>81</v>
      </c>
      <c r="H1" s="6" t="s">
        <v>82</v>
      </c>
      <c r="I1" s="6" t="s">
        <v>83</v>
      </c>
      <c r="J1" s="6" t="s">
        <v>84</v>
      </c>
      <c r="K1" s="6" t="s">
        <v>85</v>
      </c>
      <c r="L1" s="6" t="s">
        <v>86</v>
      </c>
      <c r="M1" s="6" t="s">
        <v>87</v>
      </c>
      <c r="N1" s="6" t="s">
        <v>88</v>
      </c>
      <c r="O1" s="6" t="s">
        <v>89</v>
      </c>
      <c r="P1" s="6" t="s">
        <v>90</v>
      </c>
    </row>
    <row r="2" spans="1:16">
      <c r="A2" s="6" t="s">
        <v>60</v>
      </c>
      <c r="B2" s="6" t="s">
        <v>47</v>
      </c>
      <c r="C2" s="6" t="s">
        <v>61</v>
      </c>
      <c r="D2" s="6" t="s">
        <v>91</v>
      </c>
      <c r="E2" s="6">
        <v>5</v>
      </c>
      <c r="F2" s="6">
        <v>0.01</v>
      </c>
      <c r="G2" s="6">
        <v>2.01E-2</v>
      </c>
      <c r="H2" s="6">
        <v>4.5953999999999998E-4</v>
      </c>
      <c r="I2" s="6">
        <v>7.8876E-4</v>
      </c>
      <c r="J2" s="6">
        <v>1.5903E-4</v>
      </c>
      <c r="K2" s="6">
        <v>2.8986000000000002E-4</v>
      </c>
      <c r="L2" s="6">
        <v>1.1307999999999999E-4</v>
      </c>
      <c r="M2" s="6">
        <v>1.7770000000000001E-4</v>
      </c>
      <c r="N2" s="6">
        <v>1.7517999999999999E-6</v>
      </c>
      <c r="O2" s="6">
        <v>4.5999999999999999E-2</v>
      </c>
      <c r="P2" s="6" t="s">
        <v>92</v>
      </c>
    </row>
    <row r="3" spans="1:16">
      <c r="A3" s="6" t="s">
        <v>60</v>
      </c>
      <c r="B3" s="6" t="s">
        <v>47</v>
      </c>
      <c r="C3" s="6" t="s">
        <v>61</v>
      </c>
      <c r="D3" s="6" t="s">
        <v>91</v>
      </c>
      <c r="E3" s="6">
        <v>10</v>
      </c>
      <c r="F3" s="6">
        <v>0.01</v>
      </c>
      <c r="G3" s="6">
        <v>2.01E-2</v>
      </c>
      <c r="H3" s="6">
        <v>4.6022000000000001E-4</v>
      </c>
      <c r="I3" s="6">
        <v>7.8412000000000002E-4</v>
      </c>
      <c r="J3" s="6">
        <v>1.5474999999999999E-4</v>
      </c>
      <c r="K3" s="6">
        <v>2.9462999999999999E-4</v>
      </c>
      <c r="L3" s="6">
        <v>1.1040999999999999E-4</v>
      </c>
      <c r="M3" s="6">
        <v>1.8192999999999999E-4</v>
      </c>
      <c r="N3" s="6">
        <v>1.7146000000000001E-6</v>
      </c>
      <c r="O3" s="6">
        <v>4.5999999999999999E-2</v>
      </c>
      <c r="P3" s="6" t="s">
        <v>92</v>
      </c>
    </row>
    <row r="4" spans="1:16">
      <c r="A4" s="6" t="s">
        <v>60</v>
      </c>
      <c r="B4" s="6" t="s">
        <v>47</v>
      </c>
      <c r="C4" s="6" t="s">
        <v>61</v>
      </c>
      <c r="D4" s="6" t="s">
        <v>91</v>
      </c>
      <c r="E4" s="6">
        <v>50</v>
      </c>
      <c r="F4" s="6">
        <v>0.01</v>
      </c>
      <c r="G4" s="6">
        <v>2.01E-2</v>
      </c>
      <c r="H4" s="6">
        <v>4.8140999999999999E-4</v>
      </c>
      <c r="I4" s="6">
        <v>8.3903999999999999E-4</v>
      </c>
      <c r="J4" s="6">
        <v>1.5624000000000001E-4</v>
      </c>
      <c r="K4" s="6">
        <v>2.9381999999999998E-4</v>
      </c>
      <c r="L4" s="6">
        <v>1.0989000000000001E-4</v>
      </c>
      <c r="M4" s="6">
        <v>1.8207E-4</v>
      </c>
      <c r="N4" s="6">
        <v>1.6840000000000001E-6</v>
      </c>
      <c r="O4" s="6">
        <v>4.8099999999999997E-2</v>
      </c>
      <c r="P4" s="6" t="s">
        <v>92</v>
      </c>
    </row>
    <row r="5" spans="1:16">
      <c r="A5" s="6" t="s">
        <v>60</v>
      </c>
      <c r="B5" s="6" t="s">
        <v>47</v>
      </c>
      <c r="C5" s="6" t="s">
        <v>61</v>
      </c>
      <c r="D5" s="6" t="s">
        <v>91</v>
      </c>
      <c r="E5" s="6">
        <v>100</v>
      </c>
      <c r="F5" s="6">
        <v>0.01</v>
      </c>
      <c r="G5" s="6">
        <v>2.01E-2</v>
      </c>
      <c r="H5" s="6">
        <v>4.5349000000000002E-4</v>
      </c>
      <c r="I5" s="6">
        <v>8.3546E-4</v>
      </c>
      <c r="J5" s="6">
        <v>1.5055E-4</v>
      </c>
      <c r="K5" s="6">
        <v>2.7232999999999999E-4</v>
      </c>
      <c r="L5" s="6">
        <v>1.0594000000000001E-4</v>
      </c>
      <c r="M5" s="6">
        <v>1.6831999999999999E-4</v>
      </c>
      <c r="N5" s="6">
        <v>1.6571E-6</v>
      </c>
      <c r="O5" s="6">
        <v>4.53E-2</v>
      </c>
      <c r="P5" s="6" t="s">
        <v>92</v>
      </c>
    </row>
    <row r="6" spans="1:16">
      <c r="A6" s="6" t="s">
        <v>60</v>
      </c>
      <c r="B6" s="6" t="s">
        <v>47</v>
      </c>
      <c r="C6" s="6" t="s">
        <v>61</v>
      </c>
      <c r="D6" s="6" t="s">
        <v>91</v>
      </c>
      <c r="E6" s="6">
        <v>150</v>
      </c>
      <c r="F6" s="6">
        <v>0.01</v>
      </c>
      <c r="G6" s="6">
        <v>2.01E-2</v>
      </c>
      <c r="H6" s="6">
        <v>4.5824E-4</v>
      </c>
      <c r="I6" s="6">
        <v>7.9538000000000005E-4</v>
      </c>
      <c r="J6" s="6">
        <v>1.6142000000000001E-4</v>
      </c>
      <c r="K6" s="6">
        <v>2.8142E-4</v>
      </c>
      <c r="L6" s="6">
        <v>1.1256000000000001E-4</v>
      </c>
      <c r="M6" s="6">
        <v>1.7343999999999999E-4</v>
      </c>
      <c r="N6" s="6">
        <v>1.7585E-6</v>
      </c>
      <c r="O6" s="6">
        <v>4.58E-2</v>
      </c>
      <c r="P6" s="6" t="s">
        <v>92</v>
      </c>
    </row>
    <row r="7" spans="1:16">
      <c r="A7" s="6" t="s">
        <v>60</v>
      </c>
      <c r="B7" s="6" t="s">
        <v>47</v>
      </c>
      <c r="C7" s="6" t="s">
        <v>61</v>
      </c>
      <c r="D7" s="6" t="s">
        <v>91</v>
      </c>
      <c r="E7" s="6">
        <v>200</v>
      </c>
      <c r="F7" s="6">
        <v>0.01</v>
      </c>
      <c r="G7" s="6">
        <v>2.0299999999999999E-2</v>
      </c>
      <c r="H7" s="6">
        <v>4.6317E-4</v>
      </c>
      <c r="I7" s="6">
        <v>8.3907999999999997E-4</v>
      </c>
      <c r="J7" s="6">
        <v>1.6029E-4</v>
      </c>
      <c r="K7" s="6">
        <v>2.8648999999999998E-4</v>
      </c>
      <c r="L7" s="6">
        <v>1.1438999999999999E-4</v>
      </c>
      <c r="M7" s="6">
        <v>1.8328999999999999E-4</v>
      </c>
      <c r="N7" s="6">
        <v>1.7716999999999999E-6</v>
      </c>
      <c r="O7" s="6">
        <v>4.6300000000000001E-2</v>
      </c>
      <c r="P7" s="6" t="s">
        <v>92</v>
      </c>
    </row>
    <row r="8" spans="1:16">
      <c r="A8" s="6" t="s">
        <v>65</v>
      </c>
      <c r="B8" s="6" t="s">
        <v>47</v>
      </c>
      <c r="C8" s="6" t="s">
        <v>66</v>
      </c>
      <c r="D8" s="6" t="s">
        <v>91</v>
      </c>
      <c r="E8" s="6">
        <v>5</v>
      </c>
      <c r="F8" s="6">
        <v>0.01</v>
      </c>
      <c r="G8" s="6">
        <v>2.01E-2</v>
      </c>
      <c r="H8" s="6">
        <v>2.352E-4</v>
      </c>
      <c r="I8" s="6">
        <v>5.7454000000000001E-4</v>
      </c>
      <c r="J8" s="6">
        <v>1.1017E-4</v>
      </c>
      <c r="K8" s="6">
        <v>2.1850999999999999E-4</v>
      </c>
      <c r="L8" s="6">
        <v>4.0985999999999997E-5</v>
      </c>
      <c r="M8" s="6">
        <v>7.8294999999999995E-5</v>
      </c>
      <c r="N8" s="6">
        <v>8.4109000000000002E-7</v>
      </c>
      <c r="O8" s="6">
        <v>2.35E-2</v>
      </c>
      <c r="P8" s="6" t="s">
        <v>93</v>
      </c>
    </row>
    <row r="9" spans="1:16">
      <c r="A9" s="6" t="s">
        <v>65</v>
      </c>
      <c r="B9" s="6" t="s">
        <v>47</v>
      </c>
      <c r="C9" s="6" t="s">
        <v>66</v>
      </c>
      <c r="D9" s="6" t="s">
        <v>91</v>
      </c>
      <c r="E9" s="6">
        <v>10</v>
      </c>
      <c r="F9" s="6">
        <v>0.01</v>
      </c>
      <c r="G9" s="6">
        <v>0.02</v>
      </c>
      <c r="H9" s="6">
        <v>2.3753000000000001E-4</v>
      </c>
      <c r="I9" s="6">
        <v>5.7636999999999999E-4</v>
      </c>
      <c r="J9" s="6">
        <v>1.0624E-4</v>
      </c>
      <c r="K9" s="6">
        <v>2.1992E-4</v>
      </c>
      <c r="L9" s="6">
        <v>3.7515000000000003E-5</v>
      </c>
      <c r="M9" s="6">
        <v>7.5836999999999999E-5</v>
      </c>
      <c r="N9" s="6">
        <v>7.8690000000000004E-7</v>
      </c>
      <c r="O9" s="6">
        <v>2.3800000000000002E-2</v>
      </c>
      <c r="P9" s="6" t="s">
        <v>93</v>
      </c>
    </row>
    <row r="10" spans="1:16">
      <c r="A10" s="6" t="s">
        <v>65</v>
      </c>
      <c r="B10" s="6" t="s">
        <v>47</v>
      </c>
      <c r="C10" s="6" t="s">
        <v>66</v>
      </c>
      <c r="D10" s="6" t="s">
        <v>91</v>
      </c>
      <c r="E10" s="6">
        <v>50</v>
      </c>
      <c r="F10" s="6">
        <v>0.01</v>
      </c>
      <c r="G10" s="6">
        <v>2.01E-2</v>
      </c>
      <c r="H10" s="6">
        <v>2.1542999999999999E-4</v>
      </c>
      <c r="I10" s="6">
        <v>5.1736999999999996E-4</v>
      </c>
      <c r="J10" s="6">
        <v>1.1082E-4</v>
      </c>
      <c r="K10" s="6">
        <v>2.2251000000000001E-4</v>
      </c>
      <c r="L10" s="6">
        <v>3.7113000000000002E-5</v>
      </c>
      <c r="M10" s="6">
        <v>7.4402999999999999E-5</v>
      </c>
      <c r="N10" s="6">
        <v>8.0905999999999997E-7</v>
      </c>
      <c r="O10" s="6">
        <v>2.1499999999999998E-2</v>
      </c>
      <c r="P10" s="6" t="s">
        <v>93</v>
      </c>
    </row>
    <row r="11" spans="1:16">
      <c r="A11" s="6" t="s">
        <v>65</v>
      </c>
      <c r="B11" s="6" t="s">
        <v>47</v>
      </c>
      <c r="C11" s="6" t="s">
        <v>66</v>
      </c>
      <c r="D11" s="6" t="s">
        <v>91</v>
      </c>
      <c r="E11" s="6">
        <v>100</v>
      </c>
      <c r="F11" s="6">
        <v>0.01</v>
      </c>
      <c r="G11" s="6">
        <v>2.0199999999999999E-2</v>
      </c>
      <c r="H11" s="6">
        <v>2.3955E-4</v>
      </c>
      <c r="I11" s="6">
        <v>5.6278999999999997E-4</v>
      </c>
      <c r="J11" s="6">
        <v>1.1647E-4</v>
      </c>
      <c r="K11" s="6">
        <v>2.3521999999999999E-4</v>
      </c>
      <c r="L11" s="6">
        <v>3.8834999999999997E-5</v>
      </c>
      <c r="M11" s="6">
        <v>7.8405000000000006E-5</v>
      </c>
      <c r="N11" s="6">
        <v>8.4493999999999999E-7</v>
      </c>
      <c r="O11" s="6">
        <v>2.4E-2</v>
      </c>
      <c r="P11" s="6" t="s">
        <v>93</v>
      </c>
    </row>
    <row r="12" spans="1:16">
      <c r="A12" s="6" t="s">
        <v>65</v>
      </c>
      <c r="B12" s="6" t="s">
        <v>47</v>
      </c>
      <c r="C12" s="6" t="s">
        <v>66</v>
      </c>
      <c r="D12" s="6" t="s">
        <v>91</v>
      </c>
      <c r="E12" s="6">
        <v>150</v>
      </c>
      <c r="F12" s="6">
        <v>0.01</v>
      </c>
      <c r="G12" s="6">
        <v>2.01E-2</v>
      </c>
      <c r="H12" s="6">
        <v>2.3044E-4</v>
      </c>
      <c r="I12" s="6">
        <v>5.0586000000000001E-4</v>
      </c>
      <c r="J12" s="6">
        <v>1.119E-4</v>
      </c>
      <c r="K12" s="6">
        <v>2.3251000000000001E-4</v>
      </c>
      <c r="L12" s="6">
        <v>3.7301000000000001E-5</v>
      </c>
      <c r="M12" s="6">
        <v>7.7503999999999995E-5</v>
      </c>
      <c r="N12" s="6">
        <v>8.0831000000000002E-7</v>
      </c>
      <c r="O12" s="6">
        <v>2.3E-2</v>
      </c>
      <c r="P12" s="6" t="s">
        <v>93</v>
      </c>
    </row>
    <row r="13" spans="1:16">
      <c r="A13" s="6" t="s">
        <v>65</v>
      </c>
      <c r="B13" s="6" t="s">
        <v>47</v>
      </c>
      <c r="C13" s="6" t="s">
        <v>66</v>
      </c>
      <c r="D13" s="6" t="s">
        <v>91</v>
      </c>
      <c r="E13" s="6">
        <v>200</v>
      </c>
      <c r="F13" s="6">
        <v>0.01</v>
      </c>
      <c r="G13" s="6">
        <v>2.01E-2</v>
      </c>
      <c r="H13" s="6">
        <v>2.1769000000000001E-4</v>
      </c>
      <c r="I13" s="6">
        <v>5.4445999999999997E-4</v>
      </c>
      <c r="J13" s="6">
        <v>1.1169E-4</v>
      </c>
      <c r="K13" s="6">
        <v>2.2996E-4</v>
      </c>
      <c r="L13" s="6">
        <v>3.7231999999999999E-5</v>
      </c>
      <c r="M13" s="6">
        <v>7.6655000000000004E-5</v>
      </c>
      <c r="N13" s="6">
        <v>8.0622000000000003E-7</v>
      </c>
      <c r="O13" s="6">
        <v>2.18E-2</v>
      </c>
      <c r="P13" s="6" t="s">
        <v>93</v>
      </c>
    </row>
    <row r="14" spans="1:16">
      <c r="A14" s="6" t="s">
        <v>52</v>
      </c>
      <c r="B14" s="6" t="s">
        <v>47</v>
      </c>
      <c r="C14" s="6" t="s">
        <v>53</v>
      </c>
      <c r="D14" s="6" t="s">
        <v>94</v>
      </c>
      <c r="E14" s="6">
        <v>5</v>
      </c>
      <c r="F14" s="6">
        <v>7.0999999999999994E-2</v>
      </c>
      <c r="G14" s="6">
        <v>0.12570000000000001</v>
      </c>
      <c r="H14" s="6">
        <v>1.9E-3</v>
      </c>
      <c r="I14" s="6">
        <v>3.5999999999999999E-3</v>
      </c>
      <c r="J14" s="6">
        <v>4.7415000000000001E-4</v>
      </c>
      <c r="K14" s="6">
        <v>1.1000000000000001E-3</v>
      </c>
      <c r="L14" s="6">
        <v>3.9448E-4</v>
      </c>
      <c r="M14" s="6">
        <v>6.5382000000000005E-4</v>
      </c>
      <c r="N14" s="6">
        <v>6.3932E-6</v>
      </c>
      <c r="O14" s="6">
        <v>2.6599999999999999E-2</v>
      </c>
      <c r="P14" s="6" t="s">
        <v>95</v>
      </c>
    </row>
    <row r="15" spans="1:16">
      <c r="A15" s="6" t="s">
        <v>52</v>
      </c>
      <c r="B15" s="6" t="s">
        <v>47</v>
      </c>
      <c r="C15" s="6" t="s">
        <v>53</v>
      </c>
      <c r="D15" s="6" t="s">
        <v>94</v>
      </c>
      <c r="E15" s="6">
        <v>10</v>
      </c>
      <c r="F15" s="6">
        <v>0.1416</v>
      </c>
      <c r="G15" s="6">
        <v>0.2505</v>
      </c>
      <c r="H15" s="6">
        <v>3.5000000000000001E-3</v>
      </c>
      <c r="I15" s="6">
        <v>6.7999999999999996E-3</v>
      </c>
      <c r="J15" s="6">
        <v>8.7896000000000003E-4</v>
      </c>
      <c r="K15" s="6">
        <v>2.0999999999999999E-3</v>
      </c>
      <c r="L15" s="6">
        <v>7.3875000000000004E-4</v>
      </c>
      <c r="M15" s="6">
        <v>1.1999999999999999E-3</v>
      </c>
      <c r="N15" s="6">
        <v>1.258E-5</v>
      </c>
      <c r="O15" s="6">
        <v>2.5100000000000001E-2</v>
      </c>
      <c r="P15" s="6" t="s">
        <v>95</v>
      </c>
    </row>
    <row r="16" spans="1:16">
      <c r="A16" s="6" t="s">
        <v>52</v>
      </c>
      <c r="B16" s="6" t="s">
        <v>47</v>
      </c>
      <c r="C16" s="6" t="s">
        <v>53</v>
      </c>
      <c r="D16" s="6" t="s">
        <v>94</v>
      </c>
      <c r="E16" s="6">
        <v>50</v>
      </c>
      <c r="F16" s="6">
        <v>0.70630000000000004</v>
      </c>
      <c r="G16" s="6">
        <v>1.2458</v>
      </c>
      <c r="H16" s="6">
        <v>1.9300000000000001E-2</v>
      </c>
      <c r="I16" s="6">
        <v>3.8600000000000002E-2</v>
      </c>
      <c r="J16" s="6">
        <v>4.5999999999999999E-3</v>
      </c>
      <c r="K16" s="6">
        <v>1.14E-2</v>
      </c>
      <c r="L16" s="6">
        <v>3.7000000000000002E-3</v>
      </c>
      <c r="M16" s="6">
        <v>6.1999999999999998E-3</v>
      </c>
      <c r="N16" s="6">
        <v>6.6085000000000002E-5</v>
      </c>
      <c r="O16" s="6">
        <v>2.7300000000000001E-2</v>
      </c>
      <c r="P16" s="6" t="s">
        <v>95</v>
      </c>
    </row>
    <row r="17" spans="1:16">
      <c r="A17" s="6" t="s">
        <v>52</v>
      </c>
      <c r="B17" s="6" t="s">
        <v>47</v>
      </c>
      <c r="C17" s="6" t="s">
        <v>53</v>
      </c>
      <c r="D17" s="6" t="s">
        <v>94</v>
      </c>
      <c r="E17" s="6">
        <v>100</v>
      </c>
      <c r="F17" s="6">
        <v>1.4149</v>
      </c>
      <c r="G17" s="6">
        <v>2.4984000000000002</v>
      </c>
      <c r="H17" s="6">
        <v>3.4299999999999997E-2</v>
      </c>
      <c r="I17" s="6">
        <v>6.6199999999999995E-2</v>
      </c>
      <c r="J17" s="6">
        <v>9.7999999999999997E-3</v>
      </c>
      <c r="K17" s="6">
        <v>2.2800000000000001E-2</v>
      </c>
      <c r="L17" s="6">
        <v>7.6E-3</v>
      </c>
      <c r="M17" s="6">
        <v>1.3299999999999999E-2</v>
      </c>
      <c r="N17" s="6">
        <v>1.2805E-4</v>
      </c>
      <c r="O17" s="6">
        <v>2.4299999999999999E-2</v>
      </c>
      <c r="P17" s="6" t="s">
        <v>95</v>
      </c>
    </row>
    <row r="18" spans="1:16">
      <c r="A18" s="6" t="s">
        <v>52</v>
      </c>
      <c r="B18" s="6" t="s">
        <v>47</v>
      </c>
      <c r="C18" s="6" t="s">
        <v>53</v>
      </c>
      <c r="D18" s="6" t="s">
        <v>94</v>
      </c>
      <c r="E18" s="6">
        <v>150</v>
      </c>
      <c r="F18" s="6">
        <v>2.1194000000000002</v>
      </c>
      <c r="G18" s="6">
        <v>3.7320000000000002</v>
      </c>
      <c r="H18" s="6">
        <v>5.3999999999999999E-2</v>
      </c>
      <c r="I18" s="6">
        <v>0.1108</v>
      </c>
      <c r="J18" s="6">
        <v>1.37E-2</v>
      </c>
      <c r="K18" s="6">
        <v>3.3500000000000002E-2</v>
      </c>
      <c r="L18" s="6">
        <v>1.11E-2</v>
      </c>
      <c r="M18" s="6">
        <v>1.9300000000000001E-2</v>
      </c>
      <c r="N18" s="6">
        <v>1.9432999999999999E-4</v>
      </c>
      <c r="O18" s="6">
        <v>2.5499999999999998E-2</v>
      </c>
      <c r="P18" s="6" t="s">
        <v>95</v>
      </c>
    </row>
    <row r="19" spans="1:16">
      <c r="A19" s="6" t="s">
        <v>52</v>
      </c>
      <c r="B19" s="6" t="s">
        <v>47</v>
      </c>
      <c r="C19" s="6" t="s">
        <v>53</v>
      </c>
      <c r="D19" s="6" t="s">
        <v>94</v>
      </c>
      <c r="E19" s="6">
        <v>200</v>
      </c>
      <c r="F19" s="6">
        <v>2.8269000000000002</v>
      </c>
      <c r="G19" s="6">
        <v>4.9873000000000003</v>
      </c>
      <c r="H19" s="6">
        <v>7.5200000000000003E-2</v>
      </c>
      <c r="I19" s="6">
        <v>0.14610000000000001</v>
      </c>
      <c r="J19" s="6">
        <v>1.8100000000000002E-2</v>
      </c>
      <c r="K19" s="6">
        <v>4.5100000000000001E-2</v>
      </c>
      <c r="L19" s="6">
        <v>1.4500000000000001E-2</v>
      </c>
      <c r="M19" s="6">
        <v>2.4400000000000002E-2</v>
      </c>
      <c r="N19" s="6">
        <v>2.5537999999999998E-4</v>
      </c>
      <c r="O19" s="6">
        <v>2.6599999999999999E-2</v>
      </c>
      <c r="P19" s="6" t="s">
        <v>95</v>
      </c>
    </row>
    <row r="20" spans="1:16">
      <c r="A20" s="6" t="s">
        <v>46</v>
      </c>
      <c r="B20" s="6" t="s">
        <v>47</v>
      </c>
      <c r="C20" s="6" t="s">
        <v>48</v>
      </c>
      <c r="D20" s="6" t="s">
        <v>96</v>
      </c>
      <c r="E20" s="6">
        <v>5</v>
      </c>
      <c r="F20" s="6">
        <v>7.2400000000000006E-2</v>
      </c>
      <c r="G20" s="6">
        <v>0.12670000000000001</v>
      </c>
      <c r="H20" s="6">
        <v>1.9E-3</v>
      </c>
      <c r="I20" s="6">
        <v>3.8999999999999998E-3</v>
      </c>
      <c r="J20" s="6">
        <v>5.0664999999999998E-4</v>
      </c>
      <c r="K20" s="6">
        <v>1.1000000000000001E-3</v>
      </c>
      <c r="L20" s="6">
        <v>4.2295000000000001E-4</v>
      </c>
      <c r="M20" s="6">
        <v>7.5889999999999996E-4</v>
      </c>
      <c r="N20" s="6">
        <v>6.6220999999999997E-6</v>
      </c>
      <c r="O20" s="6">
        <v>2.6700000000000002E-2</v>
      </c>
      <c r="P20" s="6" t="s">
        <v>97</v>
      </c>
    </row>
    <row r="21" spans="1:16">
      <c r="A21" s="6" t="s">
        <v>46</v>
      </c>
      <c r="B21" s="6" t="s">
        <v>47</v>
      </c>
      <c r="C21" s="6" t="s">
        <v>48</v>
      </c>
      <c r="D21" s="6" t="s">
        <v>96</v>
      </c>
      <c r="E21" s="6">
        <v>10</v>
      </c>
      <c r="F21" s="6">
        <v>0.14230000000000001</v>
      </c>
      <c r="G21" s="6">
        <v>0.2505</v>
      </c>
      <c r="H21" s="6">
        <v>3.5999999999999999E-3</v>
      </c>
      <c r="I21" s="6">
        <v>7.1999999999999998E-3</v>
      </c>
      <c r="J21" s="6">
        <v>1E-3</v>
      </c>
      <c r="K21" s="6">
        <v>2.3E-3</v>
      </c>
      <c r="L21" s="6">
        <v>8.2604E-4</v>
      </c>
      <c r="M21" s="6">
        <v>1.4E-3</v>
      </c>
      <c r="N21" s="6">
        <v>1.2986999999999999E-5</v>
      </c>
      <c r="O21" s="6">
        <v>2.52E-2</v>
      </c>
      <c r="P21" s="6" t="s">
        <v>97</v>
      </c>
    </row>
    <row r="22" spans="1:16">
      <c r="A22" s="6" t="s">
        <v>46</v>
      </c>
      <c r="B22" s="6" t="s">
        <v>47</v>
      </c>
      <c r="C22" s="6" t="s">
        <v>48</v>
      </c>
      <c r="D22" s="6" t="s">
        <v>96</v>
      </c>
      <c r="E22" s="6">
        <v>50</v>
      </c>
      <c r="F22" s="6">
        <v>0.70760000000000001</v>
      </c>
      <c r="G22" s="6">
        <v>1.2490000000000001</v>
      </c>
      <c r="H22" s="6">
        <v>1.84E-2</v>
      </c>
      <c r="I22" s="6">
        <v>3.4799999999999998E-2</v>
      </c>
      <c r="J22" s="6">
        <v>4.1000000000000003E-3</v>
      </c>
      <c r="K22" s="6">
        <v>1.0200000000000001E-2</v>
      </c>
      <c r="L22" s="6">
        <v>3.5999999999999999E-3</v>
      </c>
      <c r="M22" s="6">
        <v>6.4000000000000003E-3</v>
      </c>
      <c r="N22" s="6">
        <v>6.3219999999999994E-5</v>
      </c>
      <c r="O22" s="6">
        <v>2.5999999999999999E-2</v>
      </c>
      <c r="P22" s="6" t="s">
        <v>97</v>
      </c>
    </row>
    <row r="23" spans="1:16">
      <c r="A23" s="6" t="s">
        <v>46</v>
      </c>
      <c r="B23" s="6" t="s">
        <v>47</v>
      </c>
      <c r="C23" s="6" t="s">
        <v>48</v>
      </c>
      <c r="D23" s="6" t="s">
        <v>96</v>
      </c>
      <c r="E23" s="6">
        <v>100</v>
      </c>
      <c r="F23" s="6">
        <v>1.4129</v>
      </c>
      <c r="G23" s="6">
        <v>2.4901</v>
      </c>
      <c r="H23" s="6">
        <v>3.5200000000000002E-2</v>
      </c>
      <c r="I23" s="6">
        <v>7.0499999999999993E-2</v>
      </c>
      <c r="J23" s="6">
        <v>9.7000000000000003E-3</v>
      </c>
      <c r="K23" s="6">
        <v>2.53E-2</v>
      </c>
      <c r="L23" s="6">
        <v>7.6E-3</v>
      </c>
      <c r="M23" s="6">
        <v>1.34E-2</v>
      </c>
      <c r="N23" s="6">
        <v>1.3192E-4</v>
      </c>
      <c r="O23" s="6">
        <v>2.4899999999999999E-2</v>
      </c>
      <c r="P23" s="6" t="s">
        <v>97</v>
      </c>
    </row>
    <row r="24" spans="1:16">
      <c r="A24" s="6" t="s">
        <v>46</v>
      </c>
      <c r="B24" s="6" t="s">
        <v>47</v>
      </c>
      <c r="C24" s="6" t="s">
        <v>48</v>
      </c>
      <c r="D24" s="6" t="s">
        <v>96</v>
      </c>
      <c r="E24" s="6">
        <v>150</v>
      </c>
      <c r="F24" s="6">
        <v>2.1217000000000001</v>
      </c>
      <c r="G24" s="6">
        <v>3.7473000000000001</v>
      </c>
      <c r="H24" s="6">
        <v>5.3900000000000003E-2</v>
      </c>
      <c r="I24" s="6">
        <v>0.1144</v>
      </c>
      <c r="J24" s="6">
        <v>1.32E-2</v>
      </c>
      <c r="K24" s="6">
        <v>3.0099999999999998E-2</v>
      </c>
      <c r="L24" s="6">
        <v>1.0500000000000001E-2</v>
      </c>
      <c r="M24" s="6">
        <v>1.84E-2</v>
      </c>
      <c r="N24" s="6">
        <v>1.7581000000000001E-4</v>
      </c>
      <c r="O24" s="6">
        <v>2.5399999999999999E-2</v>
      </c>
      <c r="P24" s="6" t="s">
        <v>97</v>
      </c>
    </row>
    <row r="25" spans="1:16">
      <c r="A25" s="6" t="s">
        <v>46</v>
      </c>
      <c r="B25" s="6" t="s">
        <v>47</v>
      </c>
      <c r="C25" s="6" t="s">
        <v>48</v>
      </c>
      <c r="D25" s="6" t="s">
        <v>96</v>
      </c>
      <c r="E25" s="6">
        <v>200</v>
      </c>
      <c r="F25" s="6">
        <v>2.8273999999999999</v>
      </c>
      <c r="G25" s="6">
        <v>4.9848999999999997</v>
      </c>
      <c r="H25" s="6">
        <v>7.17E-2</v>
      </c>
      <c r="I25" s="6">
        <v>0.13370000000000001</v>
      </c>
      <c r="J25" s="6">
        <v>2.0299999999999999E-2</v>
      </c>
      <c r="K25" s="6">
        <v>4.8099999999999997E-2</v>
      </c>
      <c r="L25" s="6">
        <v>1.55E-2</v>
      </c>
      <c r="M25" s="6">
        <v>2.7E-2</v>
      </c>
      <c r="N25" s="6">
        <v>2.7304E-4</v>
      </c>
      <c r="O25" s="6">
        <v>2.5399999999999999E-2</v>
      </c>
      <c r="P25" s="6" t="s">
        <v>97</v>
      </c>
    </row>
    <row r="26" spans="1:16">
      <c r="A26" s="6" t="s">
        <v>23</v>
      </c>
      <c r="B26" s="6" t="s">
        <v>12</v>
      </c>
      <c r="C26" s="6" t="s">
        <v>24</v>
      </c>
      <c r="D26" s="6" t="s">
        <v>94</v>
      </c>
      <c r="E26" s="6">
        <v>5</v>
      </c>
      <c r="F26" s="6">
        <v>7.0999999999999994E-2</v>
      </c>
      <c r="G26" s="6">
        <v>7.6999999999999999E-2</v>
      </c>
      <c r="H26" s="6">
        <v>7.0900000000000005E-2</v>
      </c>
      <c r="I26" s="6">
        <v>7.0900000000000005E-2</v>
      </c>
      <c r="J26" s="6">
        <v>8.1090999999999997E-4</v>
      </c>
      <c r="K26" s="6">
        <v>8.1099999999999998E-4</v>
      </c>
      <c r="L26" s="6">
        <v>6.5163000000000005E-4</v>
      </c>
      <c r="M26" s="6">
        <v>6.5169999999999996E-4</v>
      </c>
      <c r="N26" s="6">
        <v>2.6797999999999999E-8</v>
      </c>
      <c r="O26" s="6">
        <v>0.99829999999999997</v>
      </c>
      <c r="P26" s="6" t="s">
        <v>98</v>
      </c>
    </row>
    <row r="27" spans="1:16">
      <c r="A27" s="6" t="s">
        <v>23</v>
      </c>
      <c r="B27" s="6" t="s">
        <v>12</v>
      </c>
      <c r="C27" s="6" t="s">
        <v>24</v>
      </c>
      <c r="D27" s="6" t="s">
        <v>94</v>
      </c>
      <c r="E27" s="6">
        <v>10</v>
      </c>
      <c r="F27" s="6">
        <v>0.1416</v>
      </c>
      <c r="G27" s="6">
        <v>0.14760000000000001</v>
      </c>
      <c r="H27" s="6">
        <v>0.14149999999999999</v>
      </c>
      <c r="I27" s="6">
        <v>0.14149999999999999</v>
      </c>
      <c r="J27" s="6">
        <v>8.1044000000000005E-4</v>
      </c>
      <c r="K27" s="6">
        <v>8.1046000000000004E-4</v>
      </c>
      <c r="L27" s="6">
        <v>6.5194999999999999E-4</v>
      </c>
      <c r="M27" s="6">
        <v>6.5198999999999997E-4</v>
      </c>
      <c r="N27" s="6">
        <v>7.0062000000000001E-9</v>
      </c>
      <c r="O27" s="6">
        <v>0.99960000000000004</v>
      </c>
      <c r="P27" s="6" t="s">
        <v>98</v>
      </c>
    </row>
    <row r="28" spans="1:16">
      <c r="A28" s="6" t="s">
        <v>23</v>
      </c>
      <c r="B28" s="6" t="s">
        <v>12</v>
      </c>
      <c r="C28" s="6" t="s">
        <v>24</v>
      </c>
      <c r="D28" s="6" t="s">
        <v>94</v>
      </c>
      <c r="E28" s="6">
        <v>50</v>
      </c>
      <c r="F28" s="6">
        <v>0.70709999999999995</v>
      </c>
      <c r="G28" s="6">
        <v>0.71330000000000005</v>
      </c>
      <c r="H28" s="6">
        <v>0.70709999999999995</v>
      </c>
      <c r="I28" s="6">
        <v>0.70709999999999995</v>
      </c>
      <c r="J28" s="6">
        <v>8.1028999999999997E-4</v>
      </c>
      <c r="K28" s="6">
        <v>8.1028999999999997E-4</v>
      </c>
      <c r="L28" s="6">
        <v>6.5205999999999999E-4</v>
      </c>
      <c r="M28" s="6">
        <v>6.5207000000000004E-4</v>
      </c>
      <c r="N28" s="6">
        <v>4.1224000000000002E-10</v>
      </c>
      <c r="O28" s="6">
        <v>1</v>
      </c>
      <c r="P28" s="6" t="s">
        <v>98</v>
      </c>
    </row>
    <row r="29" spans="1:16">
      <c r="A29" s="6" t="s">
        <v>23</v>
      </c>
      <c r="B29" s="6" t="s">
        <v>12</v>
      </c>
      <c r="C29" s="6" t="s">
        <v>24</v>
      </c>
      <c r="D29" s="6" t="s">
        <v>94</v>
      </c>
      <c r="E29" s="6">
        <v>100</v>
      </c>
      <c r="F29" s="6">
        <v>1.4141999999999999</v>
      </c>
      <c r="G29" s="6">
        <v>1.4202999999999999</v>
      </c>
      <c r="H29" s="6">
        <v>1.4141999999999999</v>
      </c>
      <c r="I29" s="6">
        <v>1.4141999999999999</v>
      </c>
      <c r="J29" s="6">
        <v>8.1028999999999997E-4</v>
      </c>
      <c r="K29" s="6">
        <v>8.1028999999999997E-4</v>
      </c>
      <c r="L29" s="6">
        <v>6.5207000000000004E-4</v>
      </c>
      <c r="M29" s="6">
        <v>6.5207000000000004E-4</v>
      </c>
      <c r="N29" s="6">
        <v>1.4383000000000001E-10</v>
      </c>
      <c r="O29" s="6">
        <v>1</v>
      </c>
      <c r="P29" s="6" t="s">
        <v>98</v>
      </c>
    </row>
    <row r="30" spans="1:16">
      <c r="A30" s="6" t="s">
        <v>23</v>
      </c>
      <c r="B30" s="6" t="s">
        <v>12</v>
      </c>
      <c r="C30" s="6" t="s">
        <v>24</v>
      </c>
      <c r="D30" s="6" t="s">
        <v>94</v>
      </c>
      <c r="E30" s="6">
        <v>150</v>
      </c>
      <c r="F30" s="6">
        <v>2.1213000000000002</v>
      </c>
      <c r="G30" s="6">
        <v>2.1274000000000002</v>
      </c>
      <c r="H30" s="6">
        <v>2.1213000000000002</v>
      </c>
      <c r="I30" s="6">
        <v>2.1213000000000002</v>
      </c>
      <c r="J30" s="6">
        <v>8.1028000000000003E-4</v>
      </c>
      <c r="K30" s="6">
        <v>8.1028000000000003E-4</v>
      </c>
      <c r="L30" s="6">
        <v>6.5207000000000004E-4</v>
      </c>
      <c r="M30" s="6">
        <v>6.5207000000000004E-4</v>
      </c>
      <c r="N30" s="6">
        <v>8.0920000000000003E-11</v>
      </c>
      <c r="O30" s="6">
        <v>1</v>
      </c>
      <c r="P30" s="6" t="s">
        <v>98</v>
      </c>
    </row>
    <row r="31" spans="1:16">
      <c r="A31" s="6" t="s">
        <v>23</v>
      </c>
      <c r="B31" s="6" t="s">
        <v>12</v>
      </c>
      <c r="C31" s="6" t="s">
        <v>24</v>
      </c>
      <c r="D31" s="6" t="s">
        <v>94</v>
      </c>
      <c r="E31" s="6">
        <v>200</v>
      </c>
      <c r="F31" s="6">
        <v>2.8283999999999998</v>
      </c>
      <c r="G31" s="6">
        <v>2.8346</v>
      </c>
      <c r="H31" s="6">
        <v>2.8283999999999998</v>
      </c>
      <c r="I31" s="6">
        <v>2.8283999999999998</v>
      </c>
      <c r="J31" s="6">
        <v>8.1028000000000003E-4</v>
      </c>
      <c r="K31" s="6">
        <v>8.1028000000000003E-4</v>
      </c>
      <c r="L31" s="6">
        <v>6.5207000000000004E-4</v>
      </c>
      <c r="M31" s="6">
        <v>6.5207000000000004E-4</v>
      </c>
      <c r="N31" s="6">
        <v>5.8341999999999994E-11</v>
      </c>
      <c r="O31" s="6">
        <v>1</v>
      </c>
      <c r="P31" s="6" t="s">
        <v>98</v>
      </c>
    </row>
    <row r="32" spans="1:16">
      <c r="A32" s="6" t="s">
        <v>56</v>
      </c>
      <c r="B32" s="6" t="s">
        <v>12</v>
      </c>
      <c r="C32" s="6" t="s">
        <v>57</v>
      </c>
      <c r="D32" s="6" t="s">
        <v>94</v>
      </c>
      <c r="E32" s="6">
        <v>5</v>
      </c>
      <c r="F32" s="6">
        <v>5.0000000000000001E-3</v>
      </c>
      <c r="G32" s="6">
        <v>7.1999999999999998E-3</v>
      </c>
      <c r="H32" s="6">
        <v>4.4999999999999997E-3</v>
      </c>
      <c r="I32" s="6">
        <v>4.4999999999999997E-3</v>
      </c>
      <c r="J32" s="6">
        <v>8.1028000000000003E-4</v>
      </c>
      <c r="K32" s="6">
        <v>8.1028000000000003E-4</v>
      </c>
      <c r="L32" s="6">
        <v>3.8196999999999998E-4</v>
      </c>
      <c r="M32" s="6">
        <v>3.8196999999999998E-4</v>
      </c>
      <c r="N32" s="6">
        <v>6.6667000000000001E-6</v>
      </c>
      <c r="O32" s="6">
        <v>0.8972</v>
      </c>
      <c r="P32" s="6" t="s">
        <v>99</v>
      </c>
    </row>
    <row r="33" spans="1:16">
      <c r="A33" s="6" t="s">
        <v>56</v>
      </c>
      <c r="B33" s="6" t="s">
        <v>12</v>
      </c>
      <c r="C33" s="6" t="s">
        <v>57</v>
      </c>
      <c r="D33" s="6" t="s">
        <v>94</v>
      </c>
      <c r="E33" s="6">
        <v>10</v>
      </c>
      <c r="F33" s="6">
        <v>5.0000000000000001E-3</v>
      </c>
      <c r="G33" s="6">
        <v>7.1999999999999998E-3</v>
      </c>
      <c r="H33" s="6">
        <v>4.4999999999999997E-3</v>
      </c>
      <c r="I33" s="6">
        <v>4.4999999999999997E-3</v>
      </c>
      <c r="J33" s="6">
        <v>8.1028000000000003E-4</v>
      </c>
      <c r="K33" s="6">
        <v>8.1028000000000003E-4</v>
      </c>
      <c r="L33" s="6">
        <v>3.8196999999999998E-4</v>
      </c>
      <c r="M33" s="6">
        <v>3.8196999999999998E-4</v>
      </c>
      <c r="N33" s="6">
        <v>6.6667000000000001E-6</v>
      </c>
      <c r="O33" s="6">
        <v>0.89710000000000001</v>
      </c>
      <c r="P33" s="6" t="s">
        <v>99</v>
      </c>
    </row>
    <row r="34" spans="1:16">
      <c r="A34" s="6" t="s">
        <v>56</v>
      </c>
      <c r="B34" s="6" t="s">
        <v>12</v>
      </c>
      <c r="C34" s="6" t="s">
        <v>57</v>
      </c>
      <c r="D34" s="6" t="s">
        <v>94</v>
      </c>
      <c r="E34" s="6">
        <v>50</v>
      </c>
      <c r="F34" s="6">
        <v>5.0000000000000001E-3</v>
      </c>
      <c r="G34" s="6">
        <v>7.1999999999999998E-3</v>
      </c>
      <c r="H34" s="6">
        <v>4.4999999999999997E-3</v>
      </c>
      <c r="I34" s="6">
        <v>4.4999999999999997E-3</v>
      </c>
      <c r="J34" s="6">
        <v>8.1028000000000003E-4</v>
      </c>
      <c r="K34" s="6">
        <v>8.1028000000000003E-4</v>
      </c>
      <c r="L34" s="6">
        <v>3.8196999999999998E-4</v>
      </c>
      <c r="M34" s="6">
        <v>3.8196999999999998E-4</v>
      </c>
      <c r="N34" s="6">
        <v>6.6667000000000001E-6</v>
      </c>
      <c r="O34" s="6">
        <v>0.89690000000000003</v>
      </c>
      <c r="P34" s="6" t="s">
        <v>99</v>
      </c>
    </row>
    <row r="35" spans="1:16">
      <c r="A35" s="6" t="s">
        <v>56</v>
      </c>
      <c r="B35" s="6" t="s">
        <v>12</v>
      </c>
      <c r="C35" s="6" t="s">
        <v>57</v>
      </c>
      <c r="D35" s="6" t="s">
        <v>94</v>
      </c>
      <c r="E35" s="6">
        <v>100</v>
      </c>
      <c r="F35" s="6">
        <v>5.0000000000000001E-3</v>
      </c>
      <c r="G35" s="6">
        <v>7.1000000000000004E-3</v>
      </c>
      <c r="H35" s="6">
        <v>4.4999999999999997E-3</v>
      </c>
      <c r="I35" s="6">
        <v>4.4999999999999997E-3</v>
      </c>
      <c r="J35" s="6">
        <v>8.1028000000000003E-4</v>
      </c>
      <c r="K35" s="6">
        <v>8.1028000000000003E-4</v>
      </c>
      <c r="L35" s="6">
        <v>3.8196999999999998E-4</v>
      </c>
      <c r="M35" s="6">
        <v>3.8196999999999998E-4</v>
      </c>
      <c r="N35" s="6">
        <v>6.6667000000000001E-6</v>
      </c>
      <c r="O35" s="6">
        <v>0.89729999999999999</v>
      </c>
      <c r="P35" s="6" t="s">
        <v>99</v>
      </c>
    </row>
    <row r="36" spans="1:16">
      <c r="A36" s="6" t="s">
        <v>56</v>
      </c>
      <c r="B36" s="6" t="s">
        <v>12</v>
      </c>
      <c r="C36" s="6" t="s">
        <v>57</v>
      </c>
      <c r="D36" s="6" t="s">
        <v>94</v>
      </c>
      <c r="E36" s="6">
        <v>150</v>
      </c>
      <c r="F36" s="6">
        <v>5.0000000000000001E-3</v>
      </c>
      <c r="G36" s="6">
        <v>7.1999999999999998E-3</v>
      </c>
      <c r="H36" s="6">
        <v>4.4999999999999997E-3</v>
      </c>
      <c r="I36" s="6">
        <v>4.4999999999999997E-3</v>
      </c>
      <c r="J36" s="6">
        <v>8.1028000000000003E-4</v>
      </c>
      <c r="K36" s="6">
        <v>8.1028000000000003E-4</v>
      </c>
      <c r="L36" s="6">
        <v>3.8196999999999998E-4</v>
      </c>
      <c r="M36" s="6">
        <v>3.8196999999999998E-4</v>
      </c>
      <c r="N36" s="6">
        <v>6.6667000000000001E-6</v>
      </c>
      <c r="O36" s="6">
        <v>0.89670000000000005</v>
      </c>
      <c r="P36" s="6" t="s">
        <v>99</v>
      </c>
    </row>
    <row r="37" spans="1:16">
      <c r="A37" s="6" t="s">
        <v>56</v>
      </c>
      <c r="B37" s="6" t="s">
        <v>12</v>
      </c>
      <c r="C37" s="6" t="s">
        <v>57</v>
      </c>
      <c r="D37" s="6" t="s">
        <v>94</v>
      </c>
      <c r="E37" s="6">
        <v>200</v>
      </c>
      <c r="F37" s="6">
        <v>5.0000000000000001E-3</v>
      </c>
      <c r="G37" s="6">
        <v>7.1999999999999998E-3</v>
      </c>
      <c r="H37" s="6">
        <v>4.4999999999999997E-3</v>
      </c>
      <c r="I37" s="6">
        <v>4.4999999999999997E-3</v>
      </c>
      <c r="J37" s="6">
        <v>8.1028000000000003E-4</v>
      </c>
      <c r="K37" s="6">
        <v>8.1028000000000003E-4</v>
      </c>
      <c r="L37" s="6">
        <v>3.8196999999999998E-4</v>
      </c>
      <c r="M37" s="6">
        <v>3.8196999999999998E-4</v>
      </c>
      <c r="N37" s="6">
        <v>6.6667000000000001E-6</v>
      </c>
      <c r="O37" s="6">
        <v>0.89690000000000003</v>
      </c>
      <c r="P37" s="6" t="s">
        <v>99</v>
      </c>
    </row>
    <row r="38" spans="1:16">
      <c r="A38" s="6" t="s">
        <v>28</v>
      </c>
      <c r="B38" s="6" t="s">
        <v>12</v>
      </c>
      <c r="C38" s="6" t="s">
        <v>29</v>
      </c>
      <c r="D38" s="6" t="s">
        <v>94</v>
      </c>
      <c r="E38" s="6">
        <v>5</v>
      </c>
      <c r="F38" s="6">
        <v>7.0999999999999994E-2</v>
      </c>
      <c r="G38" s="6">
        <v>7.6999999999999999E-2</v>
      </c>
      <c r="H38" s="6">
        <v>7.0900000000000005E-2</v>
      </c>
      <c r="I38" s="6">
        <v>7.0900000000000005E-2</v>
      </c>
      <c r="J38" s="6">
        <v>8.1090000000000003E-4</v>
      </c>
      <c r="K38" s="6">
        <v>8.1099000000000004E-4</v>
      </c>
      <c r="L38" s="6">
        <v>6.5163000000000005E-4</v>
      </c>
      <c r="M38" s="6">
        <v>6.5169000000000002E-4</v>
      </c>
      <c r="N38" s="6">
        <v>2.6759000000000002E-8</v>
      </c>
      <c r="O38" s="6">
        <v>0.99829999999999997</v>
      </c>
      <c r="P38" s="6" t="s">
        <v>100</v>
      </c>
    </row>
    <row r="39" spans="1:16">
      <c r="A39" s="6" t="s">
        <v>28</v>
      </c>
      <c r="B39" s="6" t="s">
        <v>12</v>
      </c>
      <c r="C39" s="6" t="s">
        <v>29</v>
      </c>
      <c r="D39" s="6" t="s">
        <v>94</v>
      </c>
      <c r="E39" s="6">
        <v>10</v>
      </c>
      <c r="F39" s="6">
        <v>0.1416</v>
      </c>
      <c r="G39" s="6">
        <v>0.14760000000000001</v>
      </c>
      <c r="H39" s="6">
        <v>0.14149999999999999</v>
      </c>
      <c r="I39" s="6">
        <v>0.14149999999999999</v>
      </c>
      <c r="J39" s="6">
        <v>8.1044000000000005E-4</v>
      </c>
      <c r="K39" s="6">
        <v>8.1046000000000004E-4</v>
      </c>
      <c r="L39" s="6">
        <v>6.5196000000000004E-4</v>
      </c>
      <c r="M39" s="6">
        <v>6.5198999999999997E-4</v>
      </c>
      <c r="N39" s="6">
        <v>7.0027000000000002E-9</v>
      </c>
      <c r="O39" s="6">
        <v>0.99960000000000004</v>
      </c>
      <c r="P39" s="6" t="s">
        <v>100</v>
      </c>
    </row>
    <row r="40" spans="1:16">
      <c r="A40" s="6" t="s">
        <v>28</v>
      </c>
      <c r="B40" s="6" t="s">
        <v>12</v>
      </c>
      <c r="C40" s="6" t="s">
        <v>29</v>
      </c>
      <c r="D40" s="6" t="s">
        <v>94</v>
      </c>
      <c r="E40" s="6">
        <v>50</v>
      </c>
      <c r="F40" s="6">
        <v>0.70709999999999995</v>
      </c>
      <c r="G40" s="6">
        <v>0.71319999999999995</v>
      </c>
      <c r="H40" s="6">
        <v>0.70709999999999995</v>
      </c>
      <c r="I40" s="6">
        <v>0.70709999999999995</v>
      </c>
      <c r="J40" s="6">
        <v>8.1028999999999997E-4</v>
      </c>
      <c r="K40" s="6">
        <v>8.1028999999999997E-4</v>
      </c>
      <c r="L40" s="6">
        <v>6.5205999999999999E-4</v>
      </c>
      <c r="M40" s="6">
        <v>6.5207000000000004E-4</v>
      </c>
      <c r="N40" s="6">
        <v>3.9583000000000002E-10</v>
      </c>
      <c r="O40" s="6">
        <v>1</v>
      </c>
      <c r="P40" s="6" t="s">
        <v>100</v>
      </c>
    </row>
    <row r="41" spans="1:16">
      <c r="A41" s="6" t="s">
        <v>28</v>
      </c>
      <c r="B41" s="6" t="s">
        <v>12</v>
      </c>
      <c r="C41" s="6" t="s">
        <v>29</v>
      </c>
      <c r="D41" s="6" t="s">
        <v>94</v>
      </c>
      <c r="E41" s="6">
        <v>100</v>
      </c>
      <c r="F41" s="6">
        <v>1.4141999999999999</v>
      </c>
      <c r="G41" s="6">
        <v>1.4204000000000001</v>
      </c>
      <c r="H41" s="6">
        <v>1.4141999999999999</v>
      </c>
      <c r="I41" s="6">
        <v>1.4141999999999999</v>
      </c>
      <c r="J41" s="6">
        <v>8.1028999999999997E-4</v>
      </c>
      <c r="K41" s="6">
        <v>8.1028999999999997E-4</v>
      </c>
      <c r="L41" s="6">
        <v>6.5207000000000004E-4</v>
      </c>
      <c r="M41" s="6">
        <v>6.5207000000000004E-4</v>
      </c>
      <c r="N41" s="6">
        <v>1.4555E-10</v>
      </c>
      <c r="O41" s="6">
        <v>1</v>
      </c>
      <c r="P41" s="6" t="s">
        <v>100</v>
      </c>
    </row>
    <row r="42" spans="1:16">
      <c r="A42" s="6" t="s">
        <v>28</v>
      </c>
      <c r="B42" s="6" t="s">
        <v>12</v>
      </c>
      <c r="C42" s="6" t="s">
        <v>29</v>
      </c>
      <c r="D42" s="6" t="s">
        <v>94</v>
      </c>
      <c r="E42" s="6">
        <v>150</v>
      </c>
      <c r="F42" s="6">
        <v>2.1213000000000002</v>
      </c>
      <c r="G42" s="6">
        <v>2.1274999999999999</v>
      </c>
      <c r="H42" s="6">
        <v>2.1213000000000002</v>
      </c>
      <c r="I42" s="6">
        <v>2.1213000000000002</v>
      </c>
      <c r="J42" s="6">
        <v>8.1028000000000003E-4</v>
      </c>
      <c r="K42" s="6">
        <v>8.1028000000000003E-4</v>
      </c>
      <c r="L42" s="6">
        <v>6.5207000000000004E-4</v>
      </c>
      <c r="M42" s="6">
        <v>6.5207000000000004E-4</v>
      </c>
      <c r="N42" s="6">
        <v>8.1708999999999999E-11</v>
      </c>
      <c r="O42" s="6">
        <v>1</v>
      </c>
      <c r="P42" s="6" t="s">
        <v>100</v>
      </c>
    </row>
    <row r="43" spans="1:16">
      <c r="A43" s="6" t="s">
        <v>28</v>
      </c>
      <c r="B43" s="6" t="s">
        <v>12</v>
      </c>
      <c r="C43" s="6" t="s">
        <v>29</v>
      </c>
      <c r="D43" s="6" t="s">
        <v>94</v>
      </c>
      <c r="E43" s="6">
        <v>200</v>
      </c>
      <c r="F43" s="6">
        <v>2.8283999999999998</v>
      </c>
      <c r="G43" s="6">
        <v>2.8344999999999998</v>
      </c>
      <c r="H43" s="6">
        <v>2.8283999999999998</v>
      </c>
      <c r="I43" s="6">
        <v>2.8283999999999998</v>
      </c>
      <c r="J43" s="6">
        <v>8.1028000000000003E-4</v>
      </c>
      <c r="K43" s="6">
        <v>8.1028000000000003E-4</v>
      </c>
      <c r="L43" s="6">
        <v>6.5207000000000004E-4</v>
      </c>
      <c r="M43" s="6">
        <v>6.5207000000000004E-4</v>
      </c>
      <c r="N43" s="6">
        <v>5.6700999999999998E-11</v>
      </c>
      <c r="O43" s="6">
        <v>1</v>
      </c>
      <c r="P43" s="6" t="s">
        <v>100</v>
      </c>
    </row>
    <row r="44" spans="1:16">
      <c r="A44" s="6" t="s">
        <v>41</v>
      </c>
      <c r="B44" s="6" t="s">
        <v>12</v>
      </c>
      <c r="C44" s="6" t="s">
        <v>42</v>
      </c>
      <c r="D44" s="6" t="s">
        <v>43</v>
      </c>
      <c r="E44" s="6">
        <v>5</v>
      </c>
      <c r="F44" s="6">
        <v>1</v>
      </c>
      <c r="G44" s="6">
        <v>1</v>
      </c>
      <c r="H44" s="6">
        <v>1</v>
      </c>
      <c r="I44" s="6">
        <v>1</v>
      </c>
      <c r="J44" s="6">
        <v>0</v>
      </c>
      <c r="K44" s="6">
        <v>0</v>
      </c>
      <c r="L44" s="6">
        <v>0</v>
      </c>
      <c r="M44" s="6">
        <v>0</v>
      </c>
      <c r="N44" s="6">
        <v>3.257E-16</v>
      </c>
      <c r="O44" s="6">
        <v>1</v>
      </c>
      <c r="P44" s="6" t="s">
        <v>101</v>
      </c>
    </row>
    <row r="45" spans="1:16">
      <c r="A45" s="6" t="s">
        <v>41</v>
      </c>
      <c r="B45" s="6" t="s">
        <v>12</v>
      </c>
      <c r="C45" s="6" t="s">
        <v>42</v>
      </c>
      <c r="D45" s="6" t="s">
        <v>43</v>
      </c>
      <c r="E45" s="6">
        <v>10</v>
      </c>
      <c r="F45" s="6">
        <v>1</v>
      </c>
      <c r="G45" s="6">
        <v>1</v>
      </c>
      <c r="H45" s="6">
        <v>1</v>
      </c>
      <c r="I45" s="6">
        <v>1</v>
      </c>
      <c r="J45" s="6">
        <v>0</v>
      </c>
      <c r="K45" s="6">
        <v>0</v>
      </c>
      <c r="L45" s="6">
        <v>0</v>
      </c>
      <c r="M45" s="6">
        <v>0</v>
      </c>
      <c r="N45" s="6">
        <v>3.2736000000000001E-16</v>
      </c>
      <c r="O45" s="6">
        <v>1</v>
      </c>
      <c r="P45" s="6" t="s">
        <v>101</v>
      </c>
    </row>
    <row r="46" spans="1:16">
      <c r="A46" s="6" t="s">
        <v>41</v>
      </c>
      <c r="B46" s="6" t="s">
        <v>12</v>
      </c>
      <c r="C46" s="6" t="s">
        <v>42</v>
      </c>
      <c r="D46" s="6" t="s">
        <v>43</v>
      </c>
      <c r="E46" s="6">
        <v>50</v>
      </c>
      <c r="F46" s="6">
        <v>1</v>
      </c>
      <c r="G46" s="6">
        <v>1</v>
      </c>
      <c r="H46" s="6">
        <v>1</v>
      </c>
      <c r="I46" s="6">
        <v>1</v>
      </c>
      <c r="J46" s="6">
        <v>0</v>
      </c>
      <c r="K46" s="6">
        <v>0</v>
      </c>
      <c r="L46" s="6">
        <v>0</v>
      </c>
      <c r="M46" s="6">
        <v>0</v>
      </c>
      <c r="N46" s="6">
        <v>6.5688000000000004E-16</v>
      </c>
      <c r="O46" s="6">
        <v>1</v>
      </c>
      <c r="P46" s="6" t="s">
        <v>101</v>
      </c>
    </row>
    <row r="47" spans="1:16">
      <c r="A47" s="6" t="s">
        <v>41</v>
      </c>
      <c r="B47" s="6" t="s">
        <v>12</v>
      </c>
      <c r="C47" s="6" t="s">
        <v>42</v>
      </c>
      <c r="D47" s="6" t="s">
        <v>43</v>
      </c>
      <c r="E47" s="6">
        <v>100</v>
      </c>
      <c r="F47" s="6">
        <v>1</v>
      </c>
      <c r="G47" s="6">
        <v>1</v>
      </c>
      <c r="H47" s="6">
        <v>1</v>
      </c>
      <c r="I47" s="6">
        <v>1</v>
      </c>
      <c r="J47" s="6">
        <v>0</v>
      </c>
      <c r="K47" s="6">
        <v>0</v>
      </c>
      <c r="L47" s="6">
        <v>0</v>
      </c>
      <c r="M47" s="6">
        <v>0</v>
      </c>
      <c r="N47" s="6">
        <v>1.0728E-15</v>
      </c>
      <c r="O47" s="6">
        <v>1</v>
      </c>
      <c r="P47" s="6" t="s">
        <v>101</v>
      </c>
    </row>
    <row r="48" spans="1:16">
      <c r="A48" s="6" t="s">
        <v>41</v>
      </c>
      <c r="B48" s="6" t="s">
        <v>12</v>
      </c>
      <c r="C48" s="6" t="s">
        <v>42</v>
      </c>
      <c r="D48" s="6" t="s">
        <v>43</v>
      </c>
      <c r="E48" s="6">
        <v>150</v>
      </c>
      <c r="F48" s="6">
        <v>1</v>
      </c>
      <c r="G48" s="6">
        <v>1</v>
      </c>
      <c r="H48" s="6">
        <v>1</v>
      </c>
      <c r="I48" s="6">
        <v>1</v>
      </c>
      <c r="J48" s="6">
        <v>0</v>
      </c>
      <c r="K48" s="6">
        <v>0</v>
      </c>
      <c r="L48" s="6">
        <v>0</v>
      </c>
      <c r="M48" s="6">
        <v>0</v>
      </c>
      <c r="N48" s="6">
        <v>1.5945E-15</v>
      </c>
      <c r="O48" s="6">
        <v>1</v>
      </c>
      <c r="P48" s="6" t="s">
        <v>101</v>
      </c>
    </row>
    <row r="49" spans="1:16">
      <c r="A49" s="6" t="s">
        <v>41</v>
      </c>
      <c r="B49" s="6" t="s">
        <v>12</v>
      </c>
      <c r="C49" s="6" t="s">
        <v>42</v>
      </c>
      <c r="D49" s="6" t="s">
        <v>43</v>
      </c>
      <c r="E49" s="6">
        <v>200</v>
      </c>
      <c r="F49" s="6">
        <v>1</v>
      </c>
      <c r="G49" s="6">
        <v>1</v>
      </c>
      <c r="H49" s="6">
        <v>1</v>
      </c>
      <c r="I49" s="6">
        <v>1</v>
      </c>
      <c r="J49" s="6">
        <v>0</v>
      </c>
      <c r="K49" s="6">
        <v>0</v>
      </c>
      <c r="L49" s="6">
        <v>0</v>
      </c>
      <c r="M49" s="6">
        <v>0</v>
      </c>
      <c r="N49" s="6">
        <v>1.7364999999999999E-15</v>
      </c>
      <c r="O49" s="6">
        <v>1</v>
      </c>
      <c r="P49" s="6" t="s">
        <v>101</v>
      </c>
    </row>
    <row r="50" spans="1:16">
      <c r="A50" s="6" t="s">
        <v>32</v>
      </c>
      <c r="B50" s="6" t="s">
        <v>12</v>
      </c>
      <c r="C50" s="6" t="s">
        <v>33</v>
      </c>
      <c r="D50" s="6" t="s">
        <v>34</v>
      </c>
      <c r="E50" s="6">
        <v>5</v>
      </c>
      <c r="F50" s="6">
        <v>5.0299999999999997E-2</v>
      </c>
      <c r="G50" s="6">
        <v>5.45E-2</v>
      </c>
      <c r="H50" s="6">
        <v>5.0200000000000002E-2</v>
      </c>
      <c r="I50" s="6">
        <v>5.0200000000000002E-2</v>
      </c>
      <c r="J50" s="6">
        <v>0</v>
      </c>
      <c r="K50" s="6">
        <v>0</v>
      </c>
      <c r="L50" s="6">
        <v>0</v>
      </c>
      <c r="M50" s="6">
        <v>0</v>
      </c>
      <c r="N50" s="6">
        <v>3.1948000000000002E-16</v>
      </c>
      <c r="O50" s="6">
        <v>0.998</v>
      </c>
      <c r="P50" s="6" t="s">
        <v>102</v>
      </c>
    </row>
    <row r="51" spans="1:16">
      <c r="A51" s="6" t="s">
        <v>32</v>
      </c>
      <c r="B51" s="6" t="s">
        <v>12</v>
      </c>
      <c r="C51" s="6" t="s">
        <v>33</v>
      </c>
      <c r="D51" s="6" t="s">
        <v>34</v>
      </c>
      <c r="E51" s="6">
        <v>10</v>
      </c>
      <c r="F51" s="6">
        <v>0.1002</v>
      </c>
      <c r="G51" s="6">
        <v>0.10440000000000001</v>
      </c>
      <c r="H51" s="6">
        <v>0.10009999999999999</v>
      </c>
      <c r="I51" s="6">
        <v>0.10009999999999999</v>
      </c>
      <c r="J51" s="6">
        <v>0</v>
      </c>
      <c r="K51" s="6">
        <v>0</v>
      </c>
      <c r="L51" s="6">
        <v>0</v>
      </c>
      <c r="M51" s="6">
        <v>0</v>
      </c>
      <c r="N51" s="6">
        <v>4.4236E-16</v>
      </c>
      <c r="O51" s="6">
        <v>0.99950000000000006</v>
      </c>
      <c r="P51" s="6" t="s">
        <v>102</v>
      </c>
    </row>
    <row r="52" spans="1:16">
      <c r="A52" s="6" t="s">
        <v>32</v>
      </c>
      <c r="B52" s="6" t="s">
        <v>12</v>
      </c>
      <c r="C52" s="6" t="s">
        <v>33</v>
      </c>
      <c r="D52" s="6" t="s">
        <v>34</v>
      </c>
      <c r="E52" s="6">
        <v>50</v>
      </c>
      <c r="F52" s="6">
        <v>0.5</v>
      </c>
      <c r="G52" s="6">
        <v>0.50439999999999996</v>
      </c>
      <c r="H52" s="6">
        <v>0.5</v>
      </c>
      <c r="I52" s="6">
        <v>0.5</v>
      </c>
      <c r="J52" s="6">
        <v>0</v>
      </c>
      <c r="K52" s="6">
        <v>0</v>
      </c>
      <c r="L52" s="6">
        <v>0</v>
      </c>
      <c r="M52" s="6">
        <v>0</v>
      </c>
      <c r="N52" s="6">
        <v>7.0784999999999996E-16</v>
      </c>
      <c r="O52" s="6">
        <v>1</v>
      </c>
      <c r="P52" s="6" t="s">
        <v>102</v>
      </c>
    </row>
    <row r="53" spans="1:16">
      <c r="A53" s="6" t="s">
        <v>32</v>
      </c>
      <c r="B53" s="6" t="s">
        <v>12</v>
      </c>
      <c r="C53" s="6" t="s">
        <v>33</v>
      </c>
      <c r="D53" s="6" t="s">
        <v>34</v>
      </c>
      <c r="E53" s="6">
        <v>100</v>
      </c>
      <c r="F53" s="6">
        <v>1</v>
      </c>
      <c r="G53" s="6">
        <v>1.0043</v>
      </c>
      <c r="H53" s="6">
        <v>1</v>
      </c>
      <c r="I53" s="6">
        <v>1</v>
      </c>
      <c r="J53" s="6">
        <v>0</v>
      </c>
      <c r="K53" s="6">
        <v>0</v>
      </c>
      <c r="L53" s="6">
        <v>0</v>
      </c>
      <c r="M53" s="6">
        <v>0</v>
      </c>
      <c r="N53" s="6">
        <v>1.0693E-15</v>
      </c>
      <c r="O53" s="6">
        <v>1</v>
      </c>
      <c r="P53" s="6" t="s">
        <v>102</v>
      </c>
    </row>
    <row r="54" spans="1:16">
      <c r="A54" s="6" t="s">
        <v>32</v>
      </c>
      <c r="B54" s="6" t="s">
        <v>12</v>
      </c>
      <c r="C54" s="6" t="s">
        <v>33</v>
      </c>
      <c r="D54" s="6" t="s">
        <v>34</v>
      </c>
      <c r="E54" s="6">
        <v>150</v>
      </c>
      <c r="F54" s="6">
        <v>1.5</v>
      </c>
      <c r="G54" s="6">
        <v>1.5043</v>
      </c>
      <c r="H54" s="6">
        <v>1.5</v>
      </c>
      <c r="I54" s="6">
        <v>1.5</v>
      </c>
      <c r="J54" s="6">
        <v>0</v>
      </c>
      <c r="K54" s="6">
        <v>0</v>
      </c>
      <c r="L54" s="6">
        <v>0</v>
      </c>
      <c r="M54" s="6">
        <v>0</v>
      </c>
      <c r="N54" s="6">
        <v>1.7851000000000002E-15</v>
      </c>
      <c r="O54" s="6">
        <v>1</v>
      </c>
      <c r="P54" s="6" t="s">
        <v>102</v>
      </c>
    </row>
    <row r="55" spans="1:16">
      <c r="A55" s="6" t="s">
        <v>32</v>
      </c>
      <c r="B55" s="6" t="s">
        <v>12</v>
      </c>
      <c r="C55" s="6" t="s">
        <v>33</v>
      </c>
      <c r="D55" s="6" t="s">
        <v>34</v>
      </c>
      <c r="E55" s="6">
        <v>200</v>
      </c>
      <c r="F55" s="6">
        <v>2</v>
      </c>
      <c r="G55" s="6">
        <v>2.0043000000000002</v>
      </c>
      <c r="H55" s="6">
        <v>2</v>
      </c>
      <c r="I55" s="6">
        <v>2</v>
      </c>
      <c r="J55" s="6">
        <v>0</v>
      </c>
      <c r="K55" s="6">
        <v>0</v>
      </c>
      <c r="L55" s="6">
        <v>0</v>
      </c>
      <c r="M55" s="6">
        <v>0</v>
      </c>
      <c r="N55" s="6">
        <v>1.9859999999999999E-15</v>
      </c>
      <c r="O55" s="6">
        <v>1</v>
      </c>
      <c r="P55" s="6" t="s">
        <v>102</v>
      </c>
    </row>
    <row r="56" spans="1:16">
      <c r="A56" s="6" t="s">
        <v>37</v>
      </c>
      <c r="B56" s="6" t="s">
        <v>12</v>
      </c>
      <c r="C56" s="6" t="s">
        <v>38</v>
      </c>
      <c r="D56" s="6" t="s">
        <v>34</v>
      </c>
      <c r="E56" s="6">
        <v>5</v>
      </c>
      <c r="F56" s="6">
        <v>5.0299999999999997E-2</v>
      </c>
      <c r="G56" s="6">
        <v>5.45E-2</v>
      </c>
      <c r="H56" s="6">
        <v>5.0200000000000002E-2</v>
      </c>
      <c r="I56" s="6">
        <v>5.0200000000000002E-2</v>
      </c>
      <c r="J56" s="6">
        <v>0</v>
      </c>
      <c r="K56" s="6">
        <v>0</v>
      </c>
      <c r="L56" s="6">
        <v>0</v>
      </c>
      <c r="M56" s="6">
        <v>0</v>
      </c>
      <c r="N56" s="6">
        <v>3.6274999999999998E-16</v>
      </c>
      <c r="O56" s="6">
        <v>0.99790000000000001</v>
      </c>
      <c r="P56" s="6" t="s">
        <v>103</v>
      </c>
    </row>
    <row r="57" spans="1:16">
      <c r="A57" s="6" t="s">
        <v>37</v>
      </c>
      <c r="B57" s="6" t="s">
        <v>12</v>
      </c>
      <c r="C57" s="6" t="s">
        <v>38</v>
      </c>
      <c r="D57" s="6" t="s">
        <v>34</v>
      </c>
      <c r="E57" s="6">
        <v>10</v>
      </c>
      <c r="F57" s="6">
        <v>0.1002</v>
      </c>
      <c r="G57" s="6">
        <v>0.10440000000000001</v>
      </c>
      <c r="H57" s="6">
        <v>0.10009999999999999</v>
      </c>
      <c r="I57" s="6">
        <v>0.10009999999999999</v>
      </c>
      <c r="J57" s="6">
        <v>0</v>
      </c>
      <c r="K57" s="6">
        <v>0</v>
      </c>
      <c r="L57" s="6">
        <v>0</v>
      </c>
      <c r="M57" s="6">
        <v>0</v>
      </c>
      <c r="N57" s="6">
        <v>3.6156999999999998E-16</v>
      </c>
      <c r="O57" s="6">
        <v>0.99939999999999996</v>
      </c>
      <c r="P57" s="6" t="s">
        <v>103</v>
      </c>
    </row>
    <row r="58" spans="1:16">
      <c r="A58" s="6" t="s">
        <v>37</v>
      </c>
      <c r="B58" s="6" t="s">
        <v>12</v>
      </c>
      <c r="C58" s="6" t="s">
        <v>38</v>
      </c>
      <c r="D58" s="6" t="s">
        <v>34</v>
      </c>
      <c r="E58" s="6">
        <v>50</v>
      </c>
      <c r="F58" s="6">
        <v>0.5</v>
      </c>
      <c r="G58" s="6">
        <v>0.50429999999999997</v>
      </c>
      <c r="H58" s="6">
        <v>0.5</v>
      </c>
      <c r="I58" s="6">
        <v>0.5</v>
      </c>
      <c r="J58" s="6">
        <v>0</v>
      </c>
      <c r="K58" s="6">
        <v>0</v>
      </c>
      <c r="L58" s="6">
        <v>0</v>
      </c>
      <c r="M58" s="6">
        <v>0</v>
      </c>
      <c r="N58" s="6">
        <v>7.1767999999999996E-16</v>
      </c>
      <c r="O58" s="6">
        <v>1</v>
      </c>
      <c r="P58" s="6" t="s">
        <v>103</v>
      </c>
    </row>
    <row r="59" spans="1:16">
      <c r="A59" s="6" t="s">
        <v>37</v>
      </c>
      <c r="B59" s="6" t="s">
        <v>12</v>
      </c>
      <c r="C59" s="6" t="s">
        <v>38</v>
      </c>
      <c r="D59" s="6" t="s">
        <v>34</v>
      </c>
      <c r="E59" s="6">
        <v>100</v>
      </c>
      <c r="F59" s="6">
        <v>1</v>
      </c>
      <c r="G59" s="6">
        <v>1.0043</v>
      </c>
      <c r="H59" s="6">
        <v>1</v>
      </c>
      <c r="I59" s="6">
        <v>1</v>
      </c>
      <c r="J59" s="6">
        <v>0</v>
      </c>
      <c r="K59" s="6">
        <v>0</v>
      </c>
      <c r="L59" s="6">
        <v>0</v>
      </c>
      <c r="M59" s="6">
        <v>0</v>
      </c>
      <c r="N59" s="6">
        <v>1.0975E-15</v>
      </c>
      <c r="O59" s="6">
        <v>1</v>
      </c>
      <c r="P59" s="6" t="s">
        <v>103</v>
      </c>
    </row>
    <row r="60" spans="1:16">
      <c r="A60" s="6" t="s">
        <v>37</v>
      </c>
      <c r="B60" s="6" t="s">
        <v>12</v>
      </c>
      <c r="C60" s="6" t="s">
        <v>38</v>
      </c>
      <c r="D60" s="6" t="s">
        <v>34</v>
      </c>
      <c r="E60" s="6">
        <v>150</v>
      </c>
      <c r="F60" s="6">
        <v>1.5</v>
      </c>
      <c r="G60" s="6">
        <v>1.5043</v>
      </c>
      <c r="H60" s="6">
        <v>1.5</v>
      </c>
      <c r="I60" s="6">
        <v>1.5</v>
      </c>
      <c r="J60" s="6">
        <v>0</v>
      </c>
      <c r="K60" s="6">
        <v>0</v>
      </c>
      <c r="L60" s="6">
        <v>0</v>
      </c>
      <c r="M60" s="6">
        <v>0</v>
      </c>
      <c r="N60" s="6">
        <v>1.6930000000000001E-15</v>
      </c>
      <c r="O60" s="6">
        <v>1</v>
      </c>
      <c r="P60" s="6" t="s">
        <v>103</v>
      </c>
    </row>
    <row r="61" spans="1:16">
      <c r="A61" s="6" t="s">
        <v>37</v>
      </c>
      <c r="B61" s="6" t="s">
        <v>12</v>
      </c>
      <c r="C61" s="6" t="s">
        <v>38</v>
      </c>
      <c r="D61" s="6" t="s">
        <v>34</v>
      </c>
      <c r="E61" s="6">
        <v>200</v>
      </c>
      <c r="F61" s="6">
        <v>2</v>
      </c>
      <c r="G61" s="6">
        <v>2.0043000000000002</v>
      </c>
      <c r="H61" s="6">
        <v>2</v>
      </c>
      <c r="I61" s="6">
        <v>2</v>
      </c>
      <c r="J61" s="6">
        <v>0</v>
      </c>
      <c r="K61" s="6">
        <v>0</v>
      </c>
      <c r="L61" s="6">
        <v>0</v>
      </c>
      <c r="M61" s="6">
        <v>0</v>
      </c>
      <c r="N61" s="6">
        <v>1.8172E-15</v>
      </c>
      <c r="O61" s="6">
        <v>1</v>
      </c>
      <c r="P61" s="6" t="s">
        <v>103</v>
      </c>
    </row>
    <row r="62" spans="1:16">
      <c r="A62" s="6" t="s">
        <v>11</v>
      </c>
      <c r="B62" s="6" t="s">
        <v>12</v>
      </c>
      <c r="C62" s="6" t="s">
        <v>13</v>
      </c>
      <c r="D62" s="6" t="s">
        <v>104</v>
      </c>
      <c r="E62" s="6">
        <v>5</v>
      </c>
      <c r="F62" s="6">
        <v>0.91110000000000002</v>
      </c>
      <c r="G62" s="6">
        <v>0.91969999999999996</v>
      </c>
      <c r="H62" s="6">
        <v>0.91100000000000003</v>
      </c>
      <c r="I62" s="6">
        <v>0.91100000000000003</v>
      </c>
      <c r="J62" s="6">
        <v>1.4E-3</v>
      </c>
      <c r="K62" s="6">
        <v>1.4E-3</v>
      </c>
      <c r="L62" s="6">
        <v>1.1999999999999999E-3</v>
      </c>
      <c r="M62" s="6">
        <v>1.1999999999999999E-3</v>
      </c>
      <c r="N62" s="6">
        <v>6.6332000000000003E-6</v>
      </c>
      <c r="O62" s="6">
        <v>0.99990000000000001</v>
      </c>
      <c r="P62" s="6" t="s">
        <v>105</v>
      </c>
    </row>
    <row r="63" spans="1:16">
      <c r="A63" s="6" t="s">
        <v>11</v>
      </c>
      <c r="B63" s="6" t="s">
        <v>12</v>
      </c>
      <c r="C63" s="6" t="s">
        <v>13</v>
      </c>
      <c r="D63" s="6" t="s">
        <v>104</v>
      </c>
      <c r="E63" s="6">
        <v>10</v>
      </c>
      <c r="F63" s="6">
        <v>0.84899999999999998</v>
      </c>
      <c r="G63" s="6">
        <v>0.85680000000000001</v>
      </c>
      <c r="H63" s="6">
        <v>0.84889999999999999</v>
      </c>
      <c r="I63" s="6">
        <v>0.84889999999999999</v>
      </c>
      <c r="J63" s="6">
        <v>1.4E-3</v>
      </c>
      <c r="K63" s="6">
        <v>1.4E-3</v>
      </c>
      <c r="L63" s="6">
        <v>1.1999999999999999E-3</v>
      </c>
      <c r="M63" s="6">
        <v>1.1999999999999999E-3</v>
      </c>
      <c r="N63" s="6">
        <v>6.6582000000000001E-6</v>
      </c>
      <c r="O63" s="6">
        <v>0.99990000000000001</v>
      </c>
      <c r="P63" s="6" t="s">
        <v>105</v>
      </c>
    </row>
    <row r="64" spans="1:16">
      <c r="A64" s="6" t="s">
        <v>11</v>
      </c>
      <c r="B64" s="6" t="s">
        <v>12</v>
      </c>
      <c r="C64" s="6" t="s">
        <v>13</v>
      </c>
      <c r="D64" s="6" t="s">
        <v>104</v>
      </c>
      <c r="E64" s="6">
        <v>50</v>
      </c>
      <c r="F64" s="6">
        <v>1.4157</v>
      </c>
      <c r="G64" s="6">
        <v>1.4279999999999999</v>
      </c>
      <c r="H64" s="6">
        <v>1.4157</v>
      </c>
      <c r="I64" s="6">
        <v>1.4157</v>
      </c>
      <c r="J64" s="6">
        <v>1.4E-3</v>
      </c>
      <c r="K64" s="6">
        <v>1.4E-3</v>
      </c>
      <c r="L64" s="6">
        <v>1.1999999999999999E-3</v>
      </c>
      <c r="M64" s="6">
        <v>1.1999999999999999E-3</v>
      </c>
      <c r="N64" s="6">
        <v>6.6664000000000002E-6</v>
      </c>
      <c r="O64" s="6">
        <v>1</v>
      </c>
      <c r="P64" s="6" t="s">
        <v>105</v>
      </c>
    </row>
    <row r="65" spans="1:16">
      <c r="A65" s="6" t="s">
        <v>11</v>
      </c>
      <c r="B65" s="6" t="s">
        <v>12</v>
      </c>
      <c r="C65" s="6" t="s">
        <v>13</v>
      </c>
      <c r="D65" s="6" t="s">
        <v>104</v>
      </c>
      <c r="E65" s="6">
        <v>100</v>
      </c>
      <c r="F65" s="6">
        <v>3.0013999999999998</v>
      </c>
      <c r="G65" s="6">
        <v>3.0158999999999998</v>
      </c>
      <c r="H65" s="6">
        <v>3.0013999999999998</v>
      </c>
      <c r="I65" s="6">
        <v>3.0013999999999998</v>
      </c>
      <c r="J65" s="6">
        <v>1.4E-3</v>
      </c>
      <c r="K65" s="6">
        <v>1.4E-3</v>
      </c>
      <c r="L65" s="6">
        <v>1.1999999999999999E-3</v>
      </c>
      <c r="M65" s="6">
        <v>1.1999999999999999E-3</v>
      </c>
      <c r="N65" s="6">
        <v>6.6665999999999998E-6</v>
      </c>
      <c r="O65" s="6">
        <v>1</v>
      </c>
      <c r="P65" s="6" t="s">
        <v>105</v>
      </c>
    </row>
    <row r="66" spans="1:16">
      <c r="A66" s="6" t="s">
        <v>11</v>
      </c>
      <c r="B66" s="6" t="s">
        <v>12</v>
      </c>
      <c r="C66" s="6" t="s">
        <v>13</v>
      </c>
      <c r="D66" s="6" t="s">
        <v>104</v>
      </c>
      <c r="E66" s="6">
        <v>150</v>
      </c>
      <c r="F66" s="6">
        <v>4.6917999999999997</v>
      </c>
      <c r="G66" s="6">
        <v>4.7065999999999999</v>
      </c>
      <c r="H66" s="6">
        <v>4.6917999999999997</v>
      </c>
      <c r="I66" s="6">
        <v>4.6917999999999997</v>
      </c>
      <c r="J66" s="6">
        <v>1.4E-3</v>
      </c>
      <c r="K66" s="6">
        <v>1.4E-3</v>
      </c>
      <c r="L66" s="6">
        <v>1.1999999999999999E-3</v>
      </c>
      <c r="M66" s="6">
        <v>1.1999999999999999E-3</v>
      </c>
      <c r="N66" s="6">
        <v>6.6667000000000001E-6</v>
      </c>
      <c r="O66" s="6">
        <v>1</v>
      </c>
      <c r="P66" s="6" t="s">
        <v>105</v>
      </c>
    </row>
    <row r="67" spans="1:16">
      <c r="A67" s="6" t="s">
        <v>11</v>
      </c>
      <c r="B67" s="6" t="s">
        <v>12</v>
      </c>
      <c r="C67" s="6" t="s">
        <v>13</v>
      </c>
      <c r="D67" s="6" t="s">
        <v>104</v>
      </c>
      <c r="E67" s="6">
        <v>200</v>
      </c>
      <c r="F67" s="6">
        <v>6.4044999999999996</v>
      </c>
      <c r="G67" s="6">
        <v>6.4192999999999998</v>
      </c>
      <c r="H67" s="6">
        <v>6.4044999999999996</v>
      </c>
      <c r="I67" s="6">
        <v>6.4044999999999996</v>
      </c>
      <c r="J67" s="6">
        <v>1.4E-3</v>
      </c>
      <c r="K67" s="6">
        <v>1.4E-3</v>
      </c>
      <c r="L67" s="6">
        <v>1.1999999999999999E-3</v>
      </c>
      <c r="M67" s="6">
        <v>1.1999999999999999E-3</v>
      </c>
      <c r="N67" s="6">
        <v>6.6667000000000001E-6</v>
      </c>
      <c r="O67" s="6">
        <v>1</v>
      </c>
      <c r="P67" s="6" t="s">
        <v>105</v>
      </c>
    </row>
    <row r="68" spans="1:16">
      <c r="A68" s="6" t="s">
        <v>17</v>
      </c>
      <c r="B68" s="6" t="s">
        <v>18</v>
      </c>
      <c r="C68" s="6" t="s">
        <v>19</v>
      </c>
      <c r="D68" s="6" t="s">
        <v>106</v>
      </c>
      <c r="E68" s="6">
        <v>5</v>
      </c>
      <c r="F68" s="6">
        <v>0.91390000000000005</v>
      </c>
      <c r="G68" s="6">
        <v>0.99780000000000002</v>
      </c>
      <c r="H68" s="6">
        <v>0.91110000000000002</v>
      </c>
      <c r="I68" s="6">
        <v>0.91359999999999997</v>
      </c>
      <c r="J68" s="6">
        <v>1.5E-3</v>
      </c>
      <c r="K68" s="6">
        <v>2.0999999999999999E-3</v>
      </c>
      <c r="L68" s="6">
        <v>1.2999999999999999E-3</v>
      </c>
      <c r="M68" s="6">
        <v>1.6000000000000001E-3</v>
      </c>
      <c r="N68" s="6">
        <v>9.6350000000000001E-6</v>
      </c>
      <c r="O68" s="6">
        <v>0.99690000000000001</v>
      </c>
      <c r="P68" s="6" t="s">
        <v>107</v>
      </c>
    </row>
    <row r="69" spans="1:16">
      <c r="A69" s="6" t="s">
        <v>17</v>
      </c>
      <c r="B69" s="6" t="s">
        <v>18</v>
      </c>
      <c r="C69" s="6" t="s">
        <v>19</v>
      </c>
      <c r="D69" s="6" t="s">
        <v>106</v>
      </c>
      <c r="E69" s="6">
        <v>10</v>
      </c>
      <c r="F69" s="6">
        <v>0.86080000000000001</v>
      </c>
      <c r="G69" s="6">
        <v>1.0199</v>
      </c>
      <c r="H69" s="6">
        <v>0.84909999999999997</v>
      </c>
      <c r="I69" s="6">
        <v>0.85340000000000005</v>
      </c>
      <c r="J69" s="6">
        <v>1.8E-3</v>
      </c>
      <c r="K69" s="6">
        <v>3.0000000000000001E-3</v>
      </c>
      <c r="L69" s="6">
        <v>1.5E-3</v>
      </c>
      <c r="M69" s="6">
        <v>2.2000000000000001E-3</v>
      </c>
      <c r="N69" s="6">
        <v>1.5224E-5</v>
      </c>
      <c r="O69" s="6">
        <v>0.98640000000000005</v>
      </c>
      <c r="P69" s="6" t="s">
        <v>107</v>
      </c>
    </row>
    <row r="70" spans="1:16">
      <c r="A70" s="6" t="s">
        <v>17</v>
      </c>
      <c r="B70" s="6" t="s">
        <v>18</v>
      </c>
      <c r="C70" s="6" t="s">
        <v>19</v>
      </c>
      <c r="D70" s="6" t="s">
        <v>106</v>
      </c>
      <c r="E70" s="6">
        <v>50</v>
      </c>
      <c r="F70" s="6">
        <v>1.5826</v>
      </c>
      <c r="G70" s="6">
        <v>2.1827999999999999</v>
      </c>
      <c r="H70" s="6">
        <v>1.4156</v>
      </c>
      <c r="I70" s="6">
        <v>1.4337</v>
      </c>
      <c r="J70" s="6">
        <v>4.8999999999999998E-3</v>
      </c>
      <c r="K70" s="6">
        <v>1.1299999999999999E-2</v>
      </c>
      <c r="L70" s="6">
        <v>4.1000000000000003E-3</v>
      </c>
      <c r="M70" s="6">
        <v>7.0000000000000001E-3</v>
      </c>
      <c r="N70" s="6">
        <v>6.2768000000000006E-5</v>
      </c>
      <c r="O70" s="6">
        <v>0.89449999999999996</v>
      </c>
      <c r="P70" s="6" t="s">
        <v>107</v>
      </c>
    </row>
    <row r="71" spans="1:16">
      <c r="A71" s="6" t="s">
        <v>17</v>
      </c>
      <c r="B71" s="6" t="s">
        <v>18</v>
      </c>
      <c r="C71" s="6" t="s">
        <v>19</v>
      </c>
      <c r="D71" s="6" t="s">
        <v>106</v>
      </c>
      <c r="E71" s="6">
        <v>100</v>
      </c>
      <c r="F71" s="6">
        <v>3.3178999999999998</v>
      </c>
      <c r="G71" s="6">
        <v>4.5682999999999998</v>
      </c>
      <c r="H71" s="6">
        <v>3.0003000000000002</v>
      </c>
      <c r="I71" s="6">
        <v>3.0369000000000002</v>
      </c>
      <c r="J71" s="6">
        <v>9.4000000000000004E-3</v>
      </c>
      <c r="K71" s="6">
        <v>2.23E-2</v>
      </c>
      <c r="L71" s="6">
        <v>7.7999999999999996E-3</v>
      </c>
      <c r="M71" s="6">
        <v>1.35E-2</v>
      </c>
      <c r="N71" s="6">
        <v>1.3104999999999999E-4</v>
      </c>
      <c r="O71" s="6">
        <v>0.90429999999999999</v>
      </c>
      <c r="P71" s="6" t="s">
        <v>107</v>
      </c>
    </row>
    <row r="72" spans="1:16">
      <c r="A72" s="6" t="s">
        <v>17</v>
      </c>
      <c r="B72" s="6" t="s">
        <v>18</v>
      </c>
      <c r="C72" s="6" t="s">
        <v>19</v>
      </c>
      <c r="D72" s="6" t="s">
        <v>106</v>
      </c>
      <c r="E72" s="6">
        <v>150</v>
      </c>
      <c r="F72" s="6">
        <v>5.1485000000000003</v>
      </c>
      <c r="G72" s="6">
        <v>7.0656999999999996</v>
      </c>
      <c r="H72" s="6">
        <v>4.6913</v>
      </c>
      <c r="I72" s="6">
        <v>4.7451999999999996</v>
      </c>
      <c r="J72" s="6">
        <v>1.34E-2</v>
      </c>
      <c r="K72" s="6">
        <v>3.3399999999999999E-2</v>
      </c>
      <c r="L72" s="6">
        <v>1.18E-2</v>
      </c>
      <c r="M72" s="6">
        <v>1.95E-2</v>
      </c>
      <c r="N72" s="6">
        <v>1.9427999999999999E-4</v>
      </c>
      <c r="O72" s="6">
        <v>0.91120000000000001</v>
      </c>
      <c r="P72" s="6" t="s">
        <v>107</v>
      </c>
    </row>
    <row r="73" spans="1:16">
      <c r="A73" s="6" t="s">
        <v>17</v>
      </c>
      <c r="B73" s="6" t="s">
        <v>18</v>
      </c>
      <c r="C73" s="6" t="s">
        <v>19</v>
      </c>
      <c r="D73" s="6" t="s">
        <v>106</v>
      </c>
      <c r="E73" s="6">
        <v>200</v>
      </c>
      <c r="F73" s="6">
        <v>6.9988999999999999</v>
      </c>
      <c r="G73" s="6">
        <v>9.5667000000000009</v>
      </c>
      <c r="H73" s="6">
        <v>6.4020999999999999</v>
      </c>
      <c r="I73" s="6">
        <v>6.4774000000000003</v>
      </c>
      <c r="J73" s="6">
        <v>1.8100000000000002E-2</v>
      </c>
      <c r="K73" s="6">
        <v>4.6199999999999998E-2</v>
      </c>
      <c r="L73" s="6">
        <v>1.52E-2</v>
      </c>
      <c r="M73" s="6">
        <v>2.6800000000000001E-2</v>
      </c>
      <c r="N73" s="6">
        <v>2.5552000000000002E-4</v>
      </c>
      <c r="O73" s="6">
        <v>0.91469999999999996</v>
      </c>
      <c r="P73" s="6" t="s">
        <v>107</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zoomScale="85" workbookViewId="0">
      <selection activeCell="C8" sqref="C8"/>
    </sheetView>
  </sheetViews>
  <sheetFormatPr baseColWidth="10" defaultColWidth="8.83203125" defaultRowHeight="14"/>
  <cols>
    <col min="1" max="1" width="7" customWidth="1"/>
    <col min="2" max="2" width="28" customWidth="1"/>
    <col min="3" max="3" width="13" customWidth="1"/>
    <col min="4" max="4" width="36" customWidth="1"/>
    <col min="5" max="5" width="24" customWidth="1"/>
    <col min="6" max="9" width="15" customWidth="1"/>
    <col min="10" max="10" width="34" customWidth="1"/>
    <col min="11" max="11" width="48" customWidth="1"/>
  </cols>
  <sheetData>
    <row r="1" spans="1:11" ht="45.25" customHeight="1">
      <c r="A1" s="1" t="s">
        <v>0</v>
      </c>
      <c r="B1" s="1" t="s">
        <v>1</v>
      </c>
      <c r="C1" s="1" t="s">
        <v>2</v>
      </c>
      <c r="D1" s="1" t="s">
        <v>3</v>
      </c>
      <c r="E1" s="1" t="s">
        <v>4</v>
      </c>
      <c r="F1" s="1" t="s">
        <v>5</v>
      </c>
      <c r="G1" s="1" t="s">
        <v>6</v>
      </c>
      <c r="H1" s="1" t="s">
        <v>7</v>
      </c>
      <c r="I1" s="1" t="s">
        <v>8</v>
      </c>
      <c r="J1" s="1" t="s">
        <v>9</v>
      </c>
      <c r="K1" s="1" t="s">
        <v>10</v>
      </c>
    </row>
    <row r="2" spans="1:11" ht="30">
      <c r="A2" s="2">
        <v>1</v>
      </c>
      <c r="B2" s="2" t="s">
        <v>11</v>
      </c>
      <c r="C2" s="2" t="s">
        <v>12</v>
      </c>
      <c r="D2" s="2" t="s">
        <v>13</v>
      </c>
      <c r="E2" s="2" t="s">
        <v>14</v>
      </c>
      <c r="F2" s="3">
        <v>3.0013999999999998</v>
      </c>
      <c r="G2" s="3">
        <v>3.0013999999999998</v>
      </c>
      <c r="H2" s="3">
        <v>1.4044000000000001E-3</v>
      </c>
      <c r="I2" s="3">
        <v>1.4044000000000001E-3</v>
      </c>
      <c r="J2" s="2" t="s">
        <v>15</v>
      </c>
      <c r="K2" s="2" t="s">
        <v>16</v>
      </c>
    </row>
    <row r="3" spans="1:11" ht="30">
      <c r="A3" s="2">
        <v>2</v>
      </c>
      <c r="B3" s="2" t="s">
        <v>17</v>
      </c>
      <c r="C3" s="2" t="s">
        <v>18</v>
      </c>
      <c r="D3" s="2" t="s">
        <v>19</v>
      </c>
      <c r="E3" s="2" t="s">
        <v>20</v>
      </c>
      <c r="F3" s="3">
        <v>3.0003000000000002</v>
      </c>
      <c r="G3" s="3">
        <v>3.0369000000000002</v>
      </c>
      <c r="H3" s="3">
        <v>9.4459000000000001E-3</v>
      </c>
      <c r="I3" s="3">
        <v>2.2259000000000001E-2</v>
      </c>
      <c r="J3" s="2" t="s">
        <v>21</v>
      </c>
      <c r="K3" s="2" t="s">
        <v>22</v>
      </c>
    </row>
    <row r="4" spans="1:11" ht="30">
      <c r="A4" s="2">
        <v>3</v>
      </c>
      <c r="B4" s="2" t="s">
        <v>23</v>
      </c>
      <c r="C4" s="2" t="s">
        <v>12</v>
      </c>
      <c r="D4" s="2" t="s">
        <v>24</v>
      </c>
      <c r="E4" s="2" t="s">
        <v>25</v>
      </c>
      <c r="F4" s="3">
        <v>1.4141999999999999</v>
      </c>
      <c r="G4" s="3">
        <v>1.4141999999999999</v>
      </c>
      <c r="H4" s="3">
        <v>8.1028999999999997E-4</v>
      </c>
      <c r="I4" s="3">
        <v>8.1028999999999997E-4</v>
      </c>
      <c r="J4" s="2" t="s">
        <v>26</v>
      </c>
      <c r="K4" s="2" t="s">
        <v>27</v>
      </c>
    </row>
    <row r="5" spans="1:11" ht="30">
      <c r="A5" s="2">
        <v>4</v>
      </c>
      <c r="B5" s="2" t="s">
        <v>28</v>
      </c>
      <c r="C5" s="2" t="s">
        <v>12</v>
      </c>
      <c r="D5" s="2" t="s">
        <v>29</v>
      </c>
      <c r="E5" s="2" t="s">
        <v>25</v>
      </c>
      <c r="F5" s="3">
        <v>1.4141999999999999</v>
      </c>
      <c r="G5" s="3">
        <v>1.4141999999999999</v>
      </c>
      <c r="H5" s="3">
        <v>8.1028999999999997E-4</v>
      </c>
      <c r="I5" s="3">
        <v>8.1028999999999997E-4</v>
      </c>
      <c r="J5" s="2" t="s">
        <v>30</v>
      </c>
      <c r="K5" s="2" t="s">
        <v>31</v>
      </c>
    </row>
    <row r="6" spans="1:11" ht="30">
      <c r="A6" s="2">
        <v>5</v>
      </c>
      <c r="B6" s="2" t="s">
        <v>32</v>
      </c>
      <c r="C6" s="2" t="s">
        <v>12</v>
      </c>
      <c r="D6" s="2" t="s">
        <v>33</v>
      </c>
      <c r="E6" s="2" t="s">
        <v>34</v>
      </c>
      <c r="F6" s="3">
        <v>1</v>
      </c>
      <c r="G6" s="3">
        <v>1</v>
      </c>
      <c r="H6" s="3">
        <v>0</v>
      </c>
      <c r="I6" s="3">
        <v>0</v>
      </c>
      <c r="J6" s="2" t="s">
        <v>35</v>
      </c>
      <c r="K6" s="2" t="s">
        <v>36</v>
      </c>
    </row>
    <row r="7" spans="1:11" ht="30">
      <c r="A7" s="2">
        <v>6</v>
      </c>
      <c r="B7" s="2" t="s">
        <v>37</v>
      </c>
      <c r="C7" s="2" t="s">
        <v>12</v>
      </c>
      <c r="D7" s="2" t="s">
        <v>38</v>
      </c>
      <c r="E7" s="2" t="s">
        <v>34</v>
      </c>
      <c r="F7" s="3">
        <v>1</v>
      </c>
      <c r="G7" s="3">
        <v>1</v>
      </c>
      <c r="H7" s="3">
        <v>0</v>
      </c>
      <c r="I7" s="3">
        <v>0</v>
      </c>
      <c r="J7" s="2" t="s">
        <v>39</v>
      </c>
      <c r="K7" s="2" t="s">
        <v>40</v>
      </c>
    </row>
    <row r="8" spans="1:11" ht="30">
      <c r="A8" s="2">
        <v>7</v>
      </c>
      <c r="B8" s="2" t="s">
        <v>41</v>
      </c>
      <c r="C8" s="2" t="s">
        <v>12</v>
      </c>
      <c r="D8" s="2" t="s">
        <v>42</v>
      </c>
      <c r="E8" s="2" t="s">
        <v>43</v>
      </c>
      <c r="F8" s="3">
        <v>1</v>
      </c>
      <c r="G8" s="3">
        <v>1</v>
      </c>
      <c r="H8" s="3">
        <v>0</v>
      </c>
      <c r="I8" s="3">
        <v>0</v>
      </c>
      <c r="J8" s="2" t="s">
        <v>44</v>
      </c>
      <c r="K8" s="2" t="s">
        <v>45</v>
      </c>
    </row>
    <row r="9" spans="1:11" ht="30">
      <c r="A9" s="2">
        <v>8</v>
      </c>
      <c r="B9" s="2" t="s">
        <v>46</v>
      </c>
      <c r="C9" s="2" t="s">
        <v>47</v>
      </c>
      <c r="D9" s="2" t="s">
        <v>48</v>
      </c>
      <c r="E9" s="2" t="s">
        <v>49</v>
      </c>
      <c r="F9" s="3">
        <v>3.5222999999999997E-2</v>
      </c>
      <c r="G9" s="3">
        <v>7.0472000000000007E-2</v>
      </c>
      <c r="H9" s="3">
        <v>9.7047999999999995E-3</v>
      </c>
      <c r="I9" s="3">
        <v>2.5253999999999999E-2</v>
      </c>
      <c r="J9" s="2" t="s">
        <v>50</v>
      </c>
      <c r="K9" s="2" t="s">
        <v>51</v>
      </c>
    </row>
    <row r="10" spans="1:11" ht="30">
      <c r="A10" s="2">
        <v>9</v>
      </c>
      <c r="B10" s="2" t="s">
        <v>52</v>
      </c>
      <c r="C10" s="2" t="s">
        <v>47</v>
      </c>
      <c r="D10" s="2" t="s">
        <v>53</v>
      </c>
      <c r="E10" s="2" t="s">
        <v>25</v>
      </c>
      <c r="F10" s="3">
        <v>3.4340000000000002E-2</v>
      </c>
      <c r="G10" s="3">
        <v>6.6229999999999997E-2</v>
      </c>
      <c r="H10" s="3">
        <v>9.7605000000000001E-3</v>
      </c>
      <c r="I10" s="3">
        <v>2.2759000000000001E-2</v>
      </c>
      <c r="J10" s="2" t="s">
        <v>54</v>
      </c>
      <c r="K10" s="2" t="s">
        <v>55</v>
      </c>
    </row>
    <row r="11" spans="1:11" ht="30">
      <c r="A11" s="2">
        <v>10</v>
      </c>
      <c r="B11" s="2" t="s">
        <v>56</v>
      </c>
      <c r="C11" s="2" t="s">
        <v>12</v>
      </c>
      <c r="D11" s="2" t="s">
        <v>57</v>
      </c>
      <c r="E11" s="2" t="s">
        <v>25</v>
      </c>
      <c r="F11" s="3">
        <v>4.4720999999999997E-3</v>
      </c>
      <c r="G11" s="3">
        <v>4.4720999999999997E-3</v>
      </c>
      <c r="H11" s="3">
        <v>8.1028000000000003E-4</v>
      </c>
      <c r="I11" s="3">
        <v>8.1028000000000003E-4</v>
      </c>
      <c r="J11" s="2" t="s">
        <v>58</v>
      </c>
      <c r="K11" s="2" t="s">
        <v>59</v>
      </c>
    </row>
    <row r="12" spans="1:11" ht="30">
      <c r="A12" s="2">
        <v>11</v>
      </c>
      <c r="B12" s="2" t="s">
        <v>60</v>
      </c>
      <c r="C12" s="2" t="s">
        <v>47</v>
      </c>
      <c r="D12" s="2" t="s">
        <v>61</v>
      </c>
      <c r="E12" s="2" t="s">
        <v>62</v>
      </c>
      <c r="F12" s="3">
        <v>4.5349000000000002E-4</v>
      </c>
      <c r="G12" s="3">
        <v>8.3546E-4</v>
      </c>
      <c r="H12" s="3">
        <v>1.5055E-4</v>
      </c>
      <c r="I12" s="3">
        <v>2.7232999999999999E-4</v>
      </c>
      <c r="J12" s="2" t="s">
        <v>63</v>
      </c>
      <c r="K12" s="2" t="s">
        <v>64</v>
      </c>
    </row>
    <row r="13" spans="1:11" ht="30">
      <c r="A13" s="2">
        <v>12</v>
      </c>
      <c r="B13" s="2" t="s">
        <v>65</v>
      </c>
      <c r="C13" s="2" t="s">
        <v>47</v>
      </c>
      <c r="D13" s="2" t="s">
        <v>66</v>
      </c>
      <c r="E13" s="2" t="s">
        <v>62</v>
      </c>
      <c r="F13" s="3">
        <v>2.3955E-4</v>
      </c>
      <c r="G13" s="3">
        <v>5.6278999999999997E-4</v>
      </c>
      <c r="H13" s="3">
        <v>1.1647E-4</v>
      </c>
      <c r="I13" s="3">
        <v>2.3521999999999999E-4</v>
      </c>
      <c r="J13" s="2" t="s">
        <v>67</v>
      </c>
      <c r="K13" s="2" t="s">
        <v>68</v>
      </c>
    </row>
  </sheetData>
  <phoneticPr fontId="3" type="noConversion"/>
  <conditionalFormatting sqref="F2:F13">
    <cfRule type="dataBar" priority="1">
      <dataBar>
        <cfvo type="min"/>
        <cfvo type="max"/>
        <color rgb="FF4472C4"/>
      </dataBar>
    </cfRule>
    <cfRule type="dataBar" priority="3">
      <dataBar>
        <cfvo type="min"/>
        <cfvo type="max"/>
        <color rgb="FF4472C4"/>
      </dataBar>
      <extLst>
        <ext xmlns:x14="http://schemas.microsoft.com/office/spreadsheetml/2009/9/main" uri="{B025F937-C7B1-47D3-B67F-A62EFF666E3E}">
          <x14:id>{87EFA7F7-AA88-95CC-8F9E-6E116659EEE7}</x14:id>
        </ext>
      </extLst>
    </cfRule>
  </conditionalFormatting>
  <conditionalFormatting sqref="G2:G13">
    <cfRule type="dataBar" priority="2">
      <dataBar>
        <cfvo type="min"/>
        <cfvo type="max"/>
        <color rgb="FF70AD47"/>
      </dataBar>
    </cfRule>
    <cfRule type="dataBar" priority="4">
      <dataBar>
        <cfvo type="min"/>
        <cfvo type="max"/>
        <color rgb="FF70AD47"/>
      </dataBar>
      <extLst>
        <ext xmlns:x14="http://schemas.microsoft.com/office/spreadsheetml/2009/9/main" uri="{B025F937-C7B1-47D3-B67F-A62EFF666E3E}">
          <x14:id>{E2C83BA3-6706-26A2-52B1-D40A5EC6DD38}</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7EFA7F7-AA88-95CC-8F9E-6E116659EEE7}">
            <x14:dataBar>
              <x14:cfvo type="min"/>
              <x14:cfvo type="max"/>
              <x14:negativeFillColor auto="1"/>
              <x14:axisColor auto="1"/>
            </x14:dataBar>
          </x14:cfRule>
          <xm:sqref>F2:F13</xm:sqref>
        </x14:conditionalFormatting>
        <x14:conditionalFormatting xmlns:xm="http://schemas.microsoft.com/office/excel/2006/main">
          <x14:cfRule type="dataBar" id="{E2C83BA3-6706-26A2-52B1-D40A5EC6DD38}">
            <x14:dataBar>
              <x14:cfvo type="min"/>
              <x14:cfvo type="max"/>
              <x14:negativeFillColor auto="1"/>
              <x14:axisColor auto="1"/>
            </x14:dataBar>
          </x14:cfRule>
          <xm:sqref>G2:G13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zoomScale="112" workbookViewId="0"/>
  </sheetViews>
  <sheetFormatPr baseColWidth="10" defaultColWidth="8.83203125" defaultRowHeight="14"/>
  <cols>
    <col min="1" max="1" width="26" customWidth="1"/>
    <col min="2" max="6" width="16" customWidth="1"/>
    <col min="7" max="7" width="42" customWidth="1"/>
  </cols>
  <sheetData>
    <row r="1" spans="1:7" ht="42.75" customHeight="1">
      <c r="A1" s="4" t="s">
        <v>69</v>
      </c>
      <c r="B1" s="4" t="s">
        <v>70</v>
      </c>
      <c r="C1" s="4" t="s">
        <v>5</v>
      </c>
      <c r="D1" s="4" t="s">
        <v>6</v>
      </c>
      <c r="E1" s="4" t="s">
        <v>7</v>
      </c>
      <c r="F1" s="4" t="s">
        <v>8</v>
      </c>
      <c r="G1" s="4" t="s">
        <v>71</v>
      </c>
    </row>
    <row r="2" spans="1:7" ht="15">
      <c r="A2" s="2" t="s">
        <v>17</v>
      </c>
      <c r="B2" s="2">
        <v>5</v>
      </c>
      <c r="C2" s="3">
        <v>0.91110000000000002</v>
      </c>
      <c r="D2" s="3">
        <v>0.91364000000000001</v>
      </c>
      <c r="E2" s="3">
        <v>1.5277000000000001E-3</v>
      </c>
      <c r="F2" s="3">
        <v>2.0866999999999999E-3</v>
      </c>
      <c r="G2" s="2" t="s">
        <v>72</v>
      </c>
    </row>
    <row r="3" spans="1:7" ht="15">
      <c r="A3" s="2" t="s">
        <v>17</v>
      </c>
      <c r="B3" s="2">
        <v>10</v>
      </c>
      <c r="C3" s="3">
        <v>0.84909999999999997</v>
      </c>
      <c r="D3" s="3">
        <v>0.85341999999999996</v>
      </c>
      <c r="E3" s="3">
        <v>1.7748E-3</v>
      </c>
      <c r="F3" s="3">
        <v>3.0230000000000001E-3</v>
      </c>
      <c r="G3" s="2" t="s">
        <v>72</v>
      </c>
    </row>
    <row r="4" spans="1:7" ht="15">
      <c r="A4" s="2" t="s">
        <v>17</v>
      </c>
      <c r="B4" s="2">
        <v>50</v>
      </c>
      <c r="C4" s="3">
        <v>1.4156</v>
      </c>
      <c r="D4" s="3">
        <v>1.4337</v>
      </c>
      <c r="E4" s="3">
        <v>4.8580000000000003E-3</v>
      </c>
      <c r="F4" s="3">
        <v>1.1302E-2</v>
      </c>
      <c r="G4" s="2" t="s">
        <v>72</v>
      </c>
    </row>
    <row r="5" spans="1:7" ht="15">
      <c r="A5" s="2" t="s">
        <v>17</v>
      </c>
      <c r="B5" s="2">
        <v>100</v>
      </c>
      <c r="C5" s="3">
        <v>3.0003000000000002</v>
      </c>
      <c r="D5" s="3">
        <v>3.0369000000000002</v>
      </c>
      <c r="E5" s="3">
        <v>9.4459000000000001E-3</v>
      </c>
      <c r="F5" s="3">
        <v>2.2259000000000001E-2</v>
      </c>
      <c r="G5" s="2" t="s">
        <v>72</v>
      </c>
    </row>
    <row r="6" spans="1:7" ht="15">
      <c r="A6" s="2" t="s">
        <v>17</v>
      </c>
      <c r="B6" s="2">
        <v>150</v>
      </c>
      <c r="C6" s="3">
        <v>4.6913</v>
      </c>
      <c r="D6" s="3">
        <v>4.7451999999999996</v>
      </c>
      <c r="E6" s="3">
        <v>1.3443999999999999E-2</v>
      </c>
      <c r="F6" s="3">
        <v>3.3390000000000003E-2</v>
      </c>
      <c r="G6" s="2" t="s">
        <v>72</v>
      </c>
    </row>
    <row r="7" spans="1:7" ht="15">
      <c r="A7" s="2" t="s">
        <v>17</v>
      </c>
      <c r="B7" s="2">
        <v>200</v>
      </c>
      <c r="C7" s="3">
        <v>6.4020999999999999</v>
      </c>
      <c r="D7" s="3">
        <v>6.4774000000000003</v>
      </c>
      <c r="E7" s="3">
        <v>1.8057E-2</v>
      </c>
      <c r="F7" s="3">
        <v>4.6195E-2</v>
      </c>
      <c r="G7" s="2" t="s">
        <v>72</v>
      </c>
    </row>
    <row r="8" spans="1:7" ht="15">
      <c r="A8" s="2" t="s">
        <v>46</v>
      </c>
      <c r="B8" s="2">
        <v>5</v>
      </c>
      <c r="C8" s="3">
        <v>1.9322E-3</v>
      </c>
      <c r="D8" s="3">
        <v>3.8524000000000002E-3</v>
      </c>
      <c r="E8" s="3">
        <v>5.0664999999999998E-4</v>
      </c>
      <c r="F8" s="3">
        <v>1.1378E-3</v>
      </c>
      <c r="G8" s="2" t="s">
        <v>73</v>
      </c>
    </row>
    <row r="9" spans="1:7" ht="15">
      <c r="A9" s="2" t="s">
        <v>46</v>
      </c>
      <c r="B9" s="2">
        <v>10</v>
      </c>
      <c r="C9" s="3">
        <v>3.5907999999999999E-3</v>
      </c>
      <c r="D9" s="3">
        <v>7.2122000000000002E-3</v>
      </c>
      <c r="E9" s="3">
        <v>1.0103E-3</v>
      </c>
      <c r="F9" s="3">
        <v>2.3319E-3</v>
      </c>
      <c r="G9" s="2" t="s">
        <v>73</v>
      </c>
    </row>
    <row r="10" spans="1:7" ht="15">
      <c r="A10" s="2" t="s">
        <v>46</v>
      </c>
      <c r="B10" s="2">
        <v>50</v>
      </c>
      <c r="C10" s="3">
        <v>1.8412999999999999E-2</v>
      </c>
      <c r="D10" s="3">
        <v>3.4792999999999998E-2</v>
      </c>
      <c r="E10" s="3">
        <v>4.1190000000000003E-3</v>
      </c>
      <c r="F10" s="3">
        <v>1.0156999999999999E-2</v>
      </c>
      <c r="G10" s="2" t="s">
        <v>73</v>
      </c>
    </row>
    <row r="11" spans="1:7" ht="15">
      <c r="A11" s="2" t="s">
        <v>46</v>
      </c>
      <c r="B11" s="2">
        <v>100</v>
      </c>
      <c r="C11" s="3">
        <v>3.5222999999999997E-2</v>
      </c>
      <c r="D11" s="3">
        <v>7.0472000000000007E-2</v>
      </c>
      <c r="E11" s="3">
        <v>9.7047999999999995E-3</v>
      </c>
      <c r="F11" s="3">
        <v>2.5253999999999999E-2</v>
      </c>
      <c r="G11" s="2" t="s">
        <v>73</v>
      </c>
    </row>
    <row r="12" spans="1:7" ht="15">
      <c r="A12" s="2" t="s">
        <v>46</v>
      </c>
      <c r="B12" s="2">
        <v>150</v>
      </c>
      <c r="C12" s="3">
        <v>5.3947000000000002E-2</v>
      </c>
      <c r="D12" s="3">
        <v>0.11445</v>
      </c>
      <c r="E12" s="3">
        <v>1.3246000000000001E-2</v>
      </c>
      <c r="F12" s="3">
        <v>3.0147E-2</v>
      </c>
      <c r="G12" s="2" t="s">
        <v>73</v>
      </c>
    </row>
    <row r="13" spans="1:7" ht="15">
      <c r="A13" s="2" t="s">
        <v>46</v>
      </c>
      <c r="B13" s="2">
        <v>200</v>
      </c>
      <c r="C13" s="3">
        <v>7.1734000000000006E-2</v>
      </c>
      <c r="D13" s="3">
        <v>0.13367999999999999</v>
      </c>
      <c r="E13" s="3">
        <v>2.0285999999999998E-2</v>
      </c>
      <c r="F13" s="3">
        <v>4.8146000000000001E-2</v>
      </c>
      <c r="G13" s="2" t="s">
        <v>73</v>
      </c>
    </row>
    <row r="14" spans="1:7" ht="15">
      <c r="A14" s="2" t="s">
        <v>23</v>
      </c>
      <c r="B14" s="2">
        <v>5</v>
      </c>
      <c r="C14" s="3">
        <v>7.0895E-2</v>
      </c>
      <c r="D14" s="3">
        <v>7.0896000000000001E-2</v>
      </c>
      <c r="E14" s="3">
        <v>8.1090999999999997E-4</v>
      </c>
      <c r="F14" s="3">
        <v>8.1099999999999998E-4</v>
      </c>
      <c r="G14" s="2" t="s">
        <v>74</v>
      </c>
    </row>
    <row r="15" spans="1:7" ht="15">
      <c r="A15" s="2" t="s">
        <v>23</v>
      </c>
      <c r="B15" s="2">
        <v>10</v>
      </c>
      <c r="C15" s="3">
        <v>0.14151</v>
      </c>
      <c r="D15" s="3">
        <v>0.14151</v>
      </c>
      <c r="E15" s="3">
        <v>8.1044000000000005E-4</v>
      </c>
      <c r="F15" s="3">
        <v>8.1046000000000004E-4</v>
      </c>
      <c r="G15" s="2" t="s">
        <v>74</v>
      </c>
    </row>
    <row r="16" spans="1:7" ht="15">
      <c r="A16" s="2" t="s">
        <v>23</v>
      </c>
      <c r="B16" s="2">
        <v>50</v>
      </c>
      <c r="C16" s="3">
        <v>0.70713000000000004</v>
      </c>
      <c r="D16" s="3">
        <v>0.70713000000000004</v>
      </c>
      <c r="E16" s="3">
        <v>8.1028999999999997E-4</v>
      </c>
      <c r="F16" s="3">
        <v>8.1028999999999997E-4</v>
      </c>
      <c r="G16" s="2" t="s">
        <v>74</v>
      </c>
    </row>
    <row r="17" spans="1:7" ht="15">
      <c r="A17" s="2" t="s">
        <v>23</v>
      </c>
      <c r="B17" s="2">
        <v>100</v>
      </c>
      <c r="C17" s="3">
        <v>1.4141999999999999</v>
      </c>
      <c r="D17" s="3">
        <v>1.4141999999999999</v>
      </c>
      <c r="E17" s="3">
        <v>8.1028999999999997E-4</v>
      </c>
      <c r="F17" s="3">
        <v>8.1028999999999997E-4</v>
      </c>
      <c r="G17" s="2" t="s">
        <v>74</v>
      </c>
    </row>
    <row r="18" spans="1:7" ht="15">
      <c r="A18" s="2" t="s">
        <v>23</v>
      </c>
      <c r="B18" s="2">
        <v>150</v>
      </c>
      <c r="C18" s="3">
        <v>2.1213000000000002</v>
      </c>
      <c r="D18" s="3">
        <v>2.1213000000000002</v>
      </c>
      <c r="E18" s="3">
        <v>8.1028000000000003E-4</v>
      </c>
      <c r="F18" s="3">
        <v>8.1028000000000003E-4</v>
      </c>
      <c r="G18" s="2" t="s">
        <v>74</v>
      </c>
    </row>
    <row r="19" spans="1:7" ht="15">
      <c r="A19" s="2" t="s">
        <v>23</v>
      </c>
      <c r="B19" s="2">
        <v>200</v>
      </c>
      <c r="C19" s="3">
        <v>2.8283999999999998</v>
      </c>
      <c r="D19" s="3">
        <v>2.8283999999999998</v>
      </c>
      <c r="E19" s="3">
        <v>8.1028000000000003E-4</v>
      </c>
      <c r="F19" s="3">
        <v>8.1028000000000003E-4</v>
      </c>
      <c r="G19" s="2" t="s">
        <v>74</v>
      </c>
    </row>
    <row r="20" spans="1:7" ht="30">
      <c r="A20" s="2" t="s">
        <v>32</v>
      </c>
      <c r="B20" s="2">
        <v>5</v>
      </c>
      <c r="C20" s="3">
        <v>5.0200000000000002E-2</v>
      </c>
      <c r="D20" s="3">
        <v>5.0200000000000002E-2</v>
      </c>
      <c r="E20" s="3">
        <v>0</v>
      </c>
      <c r="F20" s="3">
        <v>0</v>
      </c>
      <c r="G20" s="2" t="s">
        <v>75</v>
      </c>
    </row>
    <row r="21" spans="1:7" ht="30">
      <c r="A21" s="2" t="s">
        <v>32</v>
      </c>
      <c r="B21" s="2">
        <v>10</v>
      </c>
      <c r="C21" s="3">
        <v>0.10009999999999999</v>
      </c>
      <c r="D21" s="3">
        <v>0.10009999999999999</v>
      </c>
      <c r="E21" s="3">
        <v>0</v>
      </c>
      <c r="F21" s="3">
        <v>0</v>
      </c>
      <c r="G21" s="2" t="s">
        <v>75</v>
      </c>
    </row>
    <row r="22" spans="1:7" ht="30">
      <c r="A22" s="2" t="s">
        <v>32</v>
      </c>
      <c r="B22" s="2">
        <v>50</v>
      </c>
      <c r="C22" s="3">
        <v>0.50002000000000002</v>
      </c>
      <c r="D22" s="3">
        <v>0.50002000000000002</v>
      </c>
      <c r="E22" s="3">
        <v>0</v>
      </c>
      <c r="F22" s="3">
        <v>0</v>
      </c>
      <c r="G22" s="2" t="s">
        <v>75</v>
      </c>
    </row>
    <row r="23" spans="1:7" ht="30">
      <c r="A23" s="2" t="s">
        <v>32</v>
      </c>
      <c r="B23" s="2">
        <v>100</v>
      </c>
      <c r="C23" s="3">
        <v>1</v>
      </c>
      <c r="D23" s="3">
        <v>1</v>
      </c>
      <c r="E23" s="3">
        <v>0</v>
      </c>
      <c r="F23" s="3">
        <v>0</v>
      </c>
      <c r="G23" s="2" t="s">
        <v>75</v>
      </c>
    </row>
    <row r="24" spans="1:7" ht="30">
      <c r="A24" s="2" t="s">
        <v>32</v>
      </c>
      <c r="B24" s="2">
        <v>150</v>
      </c>
      <c r="C24" s="3">
        <v>1.5</v>
      </c>
      <c r="D24" s="3">
        <v>1.5</v>
      </c>
      <c r="E24" s="3">
        <v>0</v>
      </c>
      <c r="F24" s="3">
        <v>0</v>
      </c>
      <c r="G24" s="2" t="s">
        <v>75</v>
      </c>
    </row>
    <row r="25" spans="1:7" ht="30">
      <c r="A25" s="2" t="s">
        <v>32</v>
      </c>
      <c r="B25" s="2">
        <v>200</v>
      </c>
      <c r="C25" s="3">
        <v>2</v>
      </c>
      <c r="D25" s="3">
        <v>2</v>
      </c>
      <c r="E25" s="3">
        <v>0</v>
      </c>
      <c r="F25" s="3">
        <v>0</v>
      </c>
      <c r="G25" s="2" t="s">
        <v>75</v>
      </c>
    </row>
  </sheetData>
  <phoneticPr fontId="3"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tabSelected="1" zoomScale="138" workbookViewId="0">
      <selection activeCell="B8" sqref="B8"/>
    </sheetView>
  </sheetViews>
  <sheetFormatPr baseColWidth="10" defaultColWidth="8.83203125" defaultRowHeight="14"/>
  <cols>
    <col min="1" max="1" width="26" customWidth="1"/>
    <col min="2" max="2" width="128.6640625" customWidth="1"/>
  </cols>
  <sheetData>
    <row r="1" spans="1:2" ht="15">
      <c r="A1" s="5" t="s">
        <v>120</v>
      </c>
      <c r="B1" s="5" t="s">
        <v>108</v>
      </c>
    </row>
    <row r="2" spans="1:2">
      <c r="A2" t="s">
        <v>109</v>
      </c>
      <c r="B2" t="s">
        <v>110</v>
      </c>
    </row>
    <row r="3" spans="1:2">
      <c r="A3" t="s">
        <v>111</v>
      </c>
      <c r="B3" t="s">
        <v>112</v>
      </c>
    </row>
    <row r="4" spans="1:2">
      <c r="A4" t="s">
        <v>113</v>
      </c>
      <c r="B4" t="s">
        <v>114</v>
      </c>
    </row>
    <row r="5" spans="1:2">
      <c r="A5" t="s">
        <v>115</v>
      </c>
      <c r="B5" t="s">
        <v>116</v>
      </c>
    </row>
    <row r="6" spans="1:2">
      <c r="A6" t="s">
        <v>117</v>
      </c>
      <c r="B6" t="s">
        <v>118</v>
      </c>
    </row>
    <row r="7" spans="1:2">
      <c r="A7" t="s">
        <v>119</v>
      </c>
      <c r="B7" t="s">
        <v>121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all_data</vt:lpstr>
      <vt:lpstr>Error_Budget_100m</vt:lpstr>
      <vt:lpstr>Distance_Trends</vt:lpstr>
      <vt:lpstr>Key_Findings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Hanyu</cp:lastModifiedBy>
  <dcterms:modified xsi:type="dcterms:W3CDTF">2026-05-20T08:30:36Z</dcterms:modified>
</cp:coreProperties>
</file>